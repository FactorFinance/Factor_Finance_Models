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mart\Desktop\MF MILLIONAIRE\"/>
    </mc:Choice>
  </mc:AlternateContent>
  <bookViews>
    <workbookView xWindow="0" yWindow="0" windowWidth="19200" windowHeight="6870"/>
  </bookViews>
  <sheets>
    <sheet name="Cover" sheetId="1" r:id="rId1"/>
    <sheet name="Inputs" sheetId="2" r:id="rId2"/>
    <sheet name="Scenarios" sheetId="3" r:id="rId3"/>
    <sheet name="Margin Calc" sheetId="4" r:id="rId4"/>
    <sheet name="Comparison" sheetId="5" r:id="rId5"/>
    <sheet name="VIX Sensitivity" sheetId="6" r:id="rId6"/>
    <sheet name="Methodology" sheetId="7" r:id="rId7"/>
  </sheets>
  <calcPr calcId="152511"/>
  <fileRecoveryPr repairLoad="1"/>
</workbook>
</file>

<file path=xl/calcChain.xml><?xml version="1.0" encoding="utf-8"?>
<calcChain xmlns="http://schemas.openxmlformats.org/spreadsheetml/2006/main">
  <c r="H23" i="6" l="1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E8" i="5"/>
  <c r="C8" i="5"/>
  <c r="E7" i="5"/>
  <c r="C7" i="5"/>
  <c r="E6" i="5"/>
  <c r="C6" i="5"/>
  <c r="C11" i="4"/>
  <c r="E14" i="5" s="1"/>
  <c r="C10" i="4"/>
  <c r="C9" i="4"/>
  <c r="F20" i="3"/>
  <c r="G20" i="3" s="1"/>
  <c r="D20" i="3"/>
  <c r="E20" i="3" s="1"/>
  <c r="G19" i="3"/>
  <c r="F19" i="3"/>
  <c r="D19" i="3"/>
  <c r="E19" i="3" s="1"/>
  <c r="F18" i="3"/>
  <c r="G18" i="3" s="1"/>
  <c r="D18" i="3"/>
  <c r="E18" i="3" s="1"/>
  <c r="F17" i="3"/>
  <c r="G17" i="3" s="1"/>
  <c r="E17" i="3"/>
  <c r="H17" i="3" s="1"/>
  <c r="D17" i="3"/>
  <c r="F16" i="3"/>
  <c r="G16" i="3" s="1"/>
  <c r="D16" i="3"/>
  <c r="E16" i="3" s="1"/>
  <c r="G15" i="3"/>
  <c r="F15" i="3"/>
  <c r="D15" i="3"/>
  <c r="E15" i="3" s="1"/>
  <c r="F14" i="3"/>
  <c r="G14" i="3" s="1"/>
  <c r="D14" i="3"/>
  <c r="E14" i="3" s="1"/>
  <c r="F13" i="3"/>
  <c r="G13" i="3" s="1"/>
  <c r="E13" i="3"/>
  <c r="H13" i="3" s="1"/>
  <c r="D13" i="3"/>
  <c r="F12" i="3"/>
  <c r="G12" i="3" s="1"/>
  <c r="E12" i="3"/>
  <c r="I12" i="3" s="1"/>
  <c r="D12" i="3"/>
  <c r="G11" i="3"/>
  <c r="F11" i="3"/>
  <c r="D11" i="3"/>
  <c r="E11" i="3" s="1"/>
  <c r="G10" i="3"/>
  <c r="F10" i="3"/>
  <c r="D10" i="3"/>
  <c r="E10" i="3" s="1"/>
  <c r="F9" i="3"/>
  <c r="G9" i="3" s="1"/>
  <c r="E9" i="3"/>
  <c r="H9" i="3" s="1"/>
  <c r="D9" i="3"/>
  <c r="F8" i="3"/>
  <c r="G8" i="3" s="1"/>
  <c r="E8" i="3"/>
  <c r="I8" i="3" s="1"/>
  <c r="D8" i="3"/>
  <c r="G7" i="3"/>
  <c r="F7" i="3"/>
  <c r="D7" i="3"/>
  <c r="E7" i="3" s="1"/>
  <c r="G6" i="3"/>
  <c r="F6" i="3"/>
  <c r="D6" i="3"/>
  <c r="E6" i="3" s="1"/>
  <c r="F5" i="3"/>
  <c r="G5" i="3" s="1"/>
  <c r="E5" i="3"/>
  <c r="H5" i="3" s="1"/>
  <c r="D5" i="3"/>
  <c r="C28" i="2"/>
  <c r="C27" i="2"/>
  <c r="C26" i="2"/>
  <c r="C24" i="2"/>
  <c r="C25" i="2" s="1"/>
  <c r="I21" i="2"/>
  <c r="H21" i="2"/>
  <c r="G21" i="2"/>
  <c r="F21" i="2"/>
  <c r="I20" i="2"/>
  <c r="H20" i="2"/>
  <c r="G20" i="2"/>
  <c r="H7" i="3" l="1"/>
  <c r="I7" i="3"/>
  <c r="H11" i="3"/>
  <c r="J11" i="3" s="1"/>
  <c r="L11" i="3" s="1"/>
  <c r="I11" i="3"/>
  <c r="I20" i="3"/>
  <c r="H20" i="3"/>
  <c r="J9" i="3"/>
  <c r="L9" i="3" s="1"/>
  <c r="H15" i="3"/>
  <c r="J15" i="3" s="1"/>
  <c r="L15" i="3" s="1"/>
  <c r="I15" i="3"/>
  <c r="I14" i="3"/>
  <c r="H14" i="3"/>
  <c r="J14" i="3" s="1"/>
  <c r="L14" i="3" s="1"/>
  <c r="H19" i="3"/>
  <c r="I19" i="3"/>
  <c r="J13" i="3"/>
  <c r="L13" i="3" s="1"/>
  <c r="I18" i="3"/>
  <c r="H18" i="3"/>
  <c r="I6" i="3"/>
  <c r="H6" i="3"/>
  <c r="J6" i="3" s="1"/>
  <c r="L6" i="3" s="1"/>
  <c r="I10" i="3"/>
  <c r="H10" i="3"/>
  <c r="I16" i="3"/>
  <c r="H16" i="3"/>
  <c r="J16" i="3" s="1"/>
  <c r="L16" i="3" s="1"/>
  <c r="I5" i="3"/>
  <c r="J5" i="3" s="1"/>
  <c r="L5" i="3" s="1"/>
  <c r="I9" i="3"/>
  <c r="I13" i="3"/>
  <c r="H8" i="3"/>
  <c r="J8" i="3" s="1"/>
  <c r="L8" i="3" s="1"/>
  <c r="H12" i="3"/>
  <c r="J12" i="3" s="1"/>
  <c r="L12" i="3" s="1"/>
  <c r="C15" i="4"/>
  <c r="C14" i="5"/>
  <c r="I17" i="3"/>
  <c r="J17" i="3" s="1"/>
  <c r="L17" i="3" s="1"/>
  <c r="J20" i="3" l="1"/>
  <c r="L20" i="3" s="1"/>
  <c r="H14" i="5"/>
  <c r="G14" i="5"/>
  <c r="J10" i="3"/>
  <c r="L10" i="3" s="1"/>
  <c r="J18" i="3"/>
  <c r="L18" i="3" s="1"/>
  <c r="J19" i="3"/>
  <c r="L19" i="3" s="1"/>
  <c r="J7" i="3"/>
  <c r="L7" i="3" s="1"/>
  <c r="C5" i="4" s="1"/>
  <c r="N19" i="3" l="1"/>
  <c r="N9" i="3"/>
  <c r="N14" i="3"/>
  <c r="N18" i="3"/>
  <c r="N11" i="3"/>
  <c r="N13" i="3"/>
  <c r="L22" i="3"/>
  <c r="C13" i="5" s="1"/>
  <c r="N12" i="3"/>
  <c r="N5" i="3"/>
  <c r="N16" i="3"/>
  <c r="N10" i="3"/>
  <c r="N8" i="3"/>
  <c r="N6" i="3"/>
  <c r="N15" i="3"/>
  <c r="N7" i="3"/>
  <c r="N20" i="3"/>
  <c r="N17" i="3"/>
  <c r="C6" i="4"/>
  <c r="C14" i="4" s="1"/>
  <c r="C16" i="4" s="1"/>
  <c r="C15" i="5" s="1"/>
  <c r="E13" i="5" l="1"/>
  <c r="E15" i="5" s="1"/>
  <c r="H15" i="5"/>
  <c r="G15" i="5"/>
  <c r="H13" i="5" l="1"/>
  <c r="G13" i="5"/>
</calcChain>
</file>

<file path=xl/sharedStrings.xml><?xml version="1.0" encoding="utf-8"?>
<sst xmlns="http://schemas.openxmlformats.org/spreadsheetml/2006/main" count="244" uniqueCount="191">
  <si>
    <t>SPAN MARGIN MODEL</t>
  </si>
  <si>
    <t>Standard Portfolio Analysis of Risk  |  NSE F&amp;O  |  Factor Finance</t>
  </si>
  <si>
    <t>COLOR CODING CONVENTION</t>
  </si>
  <si>
    <t>Blue text / yellow background</t>
  </si>
  <si>
    <t>Hardcoded input — change this</t>
  </si>
  <si>
    <t>Black text / white background</t>
  </si>
  <si>
    <t>Formula or calculated value</t>
  </si>
  <si>
    <t>Green text</t>
  </si>
  <si>
    <t>Cross-sheet reference</t>
  </si>
  <si>
    <t>Red text / red background</t>
  </si>
  <si>
    <t>Loss / worst case scenario</t>
  </si>
  <si>
    <t>Green text / green background</t>
  </si>
  <si>
    <t>Gain / positive scenario</t>
  </si>
  <si>
    <t>SHEET INDEX</t>
  </si>
  <si>
    <t>Inputs</t>
  </si>
  <si>
    <t>Market parameters, position setup, exchange SPAN parameters</t>
  </si>
  <si>
    <t>Scenarios</t>
  </si>
  <si>
    <t>All 16 SPAN scenarios — price and vol combinations, P&amp;L per scenario</t>
  </si>
  <si>
    <t>Margin Calc</t>
  </si>
  <si>
    <t>SPAN margin + exposure margin = total initial margin requirement</t>
  </si>
  <si>
    <t>Comparison</t>
  </si>
  <si>
    <t>Naked vs hedged position — portfolio margining benefit illustrated</t>
  </si>
  <si>
    <t>VIX Sensitivity</t>
  </si>
  <si>
    <t>Margin requirement across all VIX levels — the event-day effect</t>
  </si>
  <si>
    <t>Methodology</t>
  </si>
  <si>
    <t>Formulas, theory, and assumptions behind the model</t>
  </si>
  <si>
    <t>Model for educational purposes only. Actual NSE SPAN parameters updated daily. Verify against official NSE margin files before trading.</t>
  </si>
  <si>
    <t>INPUTS &amp; ASSUMPTIONS</t>
  </si>
  <si>
    <t>A.  MARKET PARAMETERS</t>
  </si>
  <si>
    <t>Nifty Spot Price</t>
  </si>
  <si>
    <t>INR</t>
  </si>
  <si>
    <t>NSE close price</t>
  </si>
  <si>
    <t>India VIX</t>
  </si>
  <si>
    <t>%</t>
  </si>
  <si>
    <t>NSE India VIX (implied vol proxy)</t>
  </si>
  <si>
    <t>Risk-Free Rate (RBI Repo)</t>
  </si>
  <si>
    <t>% p.a.</t>
  </si>
  <si>
    <t>RBI repo rate</t>
  </si>
  <si>
    <t>Days to Expiry</t>
  </si>
  <si>
    <t>days</t>
  </si>
  <si>
    <t>Weekly expiry = 7 days</t>
  </si>
  <si>
    <t>Lot Size (Nifty)</t>
  </si>
  <si>
    <t>units</t>
  </si>
  <si>
    <t>NSE standard lot size</t>
  </si>
  <si>
    <t>B.  NSE SPAN PARAMETERS  (set by exchange, updated daily)</t>
  </si>
  <si>
    <t>Price Scan Range (PSR)</t>
  </si>
  <si>
    <t>Max adverse price move. NSE currently ~3.5% for Nifty</t>
  </si>
  <si>
    <t>Volatility Scan Range (VSR)</t>
  </si>
  <si>
    <t>% pts</t>
  </si>
  <si>
    <t>±VIX change per scenario. Typically 4 percentage points</t>
  </si>
  <si>
    <t>Extreme Move Multiple</t>
  </si>
  <si>
    <t>x</t>
  </si>
  <si>
    <t>Scenarios 15 &amp; 16 use 2× PSR for tail risk</t>
  </si>
  <si>
    <t>Extreme Scenario Weight</t>
  </si>
  <si>
    <t>Low-probability tail events weighted at 35%</t>
  </si>
  <si>
    <t>Exposure Margin — Index Fut.</t>
  </si>
  <si>
    <t>NSE mandate: 3% of notional for index futures</t>
  </si>
  <si>
    <t>Exposure Margin — Stock Fut.</t>
  </si>
  <si>
    <t>NSE mandate: 5% of notional for single stock futures</t>
  </si>
  <si>
    <t>C.  POSITION ENTRY  (modify rows 20–21 to model different positions)</t>
  </si>
  <si>
    <t>#</t>
  </si>
  <si>
    <t>Description</t>
  </si>
  <si>
    <t>Instrument</t>
  </si>
  <si>
    <t>Direction</t>
  </si>
  <si>
    <t>Lots</t>
  </si>
  <si>
    <t>Strike (INR)</t>
  </si>
  <si>
    <t>Expiry (days)</t>
  </si>
  <si>
    <t>Entry Price (INR)</t>
  </si>
  <si>
    <t>Notional (INR)</t>
  </si>
  <si>
    <t>Nifty Futures</t>
  </si>
  <si>
    <t>Futures</t>
  </si>
  <si>
    <t>Short</t>
  </si>
  <si>
    <t>—</t>
  </si>
  <si>
    <t>Long</t>
  </si>
  <si>
    <t>D.  COMPUTED REFERENCE VALUES</t>
  </si>
  <si>
    <t>ATM Call Price (approx.)</t>
  </si>
  <si>
    <t>ATM Put Price (approx.)</t>
  </si>
  <si>
    <t>1 Lot Notional (INR)</t>
  </si>
  <si>
    <t>Annual Vol (from VIX)</t>
  </si>
  <si>
    <t>Daily Vol (approx.)</t>
  </si>
  <si>
    <t>16 SPAN SCENARIOS — STANDARD PORTFOLIO ANALYSIS OF RISK</t>
  </si>
  <si>
    <t>SPAN evaluates portfolio P&amp;L across 16 price × volatility scenarios. SPAN Margin = MAX(0, −MIN(weighted P&amp;L)). Scenarios 15–16 are extreme tail events weighted at 35%.</t>
  </si>
  <si>
    <t>Scen
#</t>
  </si>
  <si>
    <t>Price
Fraction</t>
  </si>
  <si>
    <t>Vol
Fraction</t>
  </si>
  <si>
    <t>Price Move
(% of PSR)</t>
  </si>
  <si>
    <t>New Nifty
Price</t>
  </si>
  <si>
    <t>Vol Move
(% pts)</t>
  </si>
  <si>
    <t>New
Vol (%)</t>
  </si>
  <si>
    <t>Futures
P&amp;L</t>
  </si>
  <si>
    <t>Options
P&amp;L (approx)</t>
  </si>
  <si>
    <t>Portfolio
P&amp;L</t>
  </si>
  <si>
    <t>Weight
(%)</t>
  </si>
  <si>
    <t>Weighted
P&amp;L</t>
  </si>
  <si>
    <t>Extreme
Scenario</t>
  </si>
  <si>
    <t>Worst
Case</t>
  </si>
  <si>
    <t>YES</t>
  </si>
  <si>
    <t>SPAN MARGIN  =  MAX( 0,  −MIN(Weighted P&amp;L across 16 scenarios) )</t>
  </si>
  <si>
    <t>TOTAL INITIAL MARGIN CALCULATION</t>
  </si>
  <si>
    <t>COMPONENT 1 OF 2  —  SPAN MARGIN</t>
  </si>
  <si>
    <t xml:space="preserve">    Worst-case scenario weighted P&amp;L</t>
  </si>
  <si>
    <t>SPAN Margin  [= MAX(0, −worst P&amp;L)]</t>
  </si>
  <si>
    <t>COMPONENT 2 OF 2  —  EXPOSURE MARGIN  (NSE mandate)</t>
  </si>
  <si>
    <t xml:space="preserve">    Notional value of short position</t>
  </si>
  <si>
    <t xml:space="preserve">    Exposure margin rate (index futures)</t>
  </si>
  <si>
    <t>Exposure Margin  [= Notional × Rate]</t>
  </si>
  <si>
    <t>TOTAL INITIAL MARGIN  =  SPAN  +  EXPOSURE</t>
  </si>
  <si>
    <t xml:space="preserve">    SPAN Margin</t>
  </si>
  <si>
    <t xml:space="preserve">    Exposure Margin</t>
  </si>
  <si>
    <t>TOTAL INITIAL MARGIN</t>
  </si>
  <si>
    <t>Note: SPAN margin covers the scenario-based P&amp;L risk. Exposure margin is NSE's additional buffer against gap risk. Both are blocked in your trading account.</t>
  </si>
  <si>
    <t>PORTFOLIO MARGINING  —  NAKED vs HEDGED POSITION</t>
  </si>
  <si>
    <t>SPAN evaluates risk at portfolio level. A long put hedge reduces worst-case scenario losses, directly reducing the SPAN margin requirement. This is portfolio margining.</t>
  </si>
  <si>
    <t>Metric</t>
  </si>
  <si>
    <t>Units</t>
  </si>
  <si>
    <t>Naked Short Futures
(1 lot)</t>
  </si>
  <si>
    <t>Margin Saving
(INR)</t>
  </si>
  <si>
    <t>Saving
(%)</t>
  </si>
  <si>
    <t>Price Scan Range</t>
  </si>
  <si>
    <t>Position</t>
  </si>
  <si>
    <t>Short Futures</t>
  </si>
  <si>
    <t>KEY MARGIN METRICS</t>
  </si>
  <si>
    <t>SPAN Margin</t>
  </si>
  <si>
    <t>→</t>
  </si>
  <si>
    <t>=</t>
  </si>
  <si>
    <t>Exposure Margin</t>
  </si>
  <si>
    <t>TOTAL MARGIN</t>
  </si>
  <si>
    <t>Note: Hedged margin estimated at 40% of naked for illustrative purposes. Actual saving depends on option delta, time to expiry, and current volatility. In practice, ATM put hedge on 1 lot typically saves 40–65% of naked margin.</t>
  </si>
  <si>
    <t>VIX SENSITIVITY ANALYSIS — MARGIN vs VOLATILITY REGIME</t>
  </si>
  <si>
    <t>This table shows how SPAN margin on 1 lot short Nifty futures changes with VIX. This is the mechanism behind overnight margin increases before RBI policy, Budget, and elections.</t>
  </si>
  <si>
    <t>Implied
Vol (%)</t>
  </si>
  <si>
    <t>PSR
(%)</t>
  </si>
  <si>
    <t>SPAN Margin
(INR) approx</t>
  </si>
  <si>
    <t>Exposure
Margin (INR)</t>
  </si>
  <si>
    <t>Total Margin
(INR)</t>
  </si>
  <si>
    <t>vs Base Case
(INR)</t>
  </si>
  <si>
    <t>Change
(%)</t>
  </si>
  <si>
    <t>Volatility
Regime</t>
  </si>
  <si>
    <t>Calm</t>
  </si>
  <si>
    <t>Elevated</t>
  </si>
  <si>
    <t>Stressed</t>
  </si>
  <si>
    <t>Crisis</t>
  </si>
  <si>
    <t>Base case: VIX = 14. Approx SPAN margin on 1 lot short Nifty futures (Lot size 50, spot ₹22,000). PSR widens beyond 3.5% when VIX &gt; 14. Actual NSE parameters updated each trading session.</t>
  </si>
  <si>
    <t>METHODOLOGY &amp; FORMULA REFERENCE</t>
  </si>
  <si>
    <t>1.  WHAT IS SPAN?</t>
  </si>
  <si>
    <t>Standard Portfolio Analysis of Risk (SPAN) was developed by the Chicago Mercantile Exchange in 1988.</t>
  </si>
  <si>
    <t>It is the global standard for derivative margin calculation and is used by NSE, BSE, and most major exchanges.</t>
  </si>
  <si>
    <t>SPAN evaluates the worst-case loss of a portfolio across 16 predefined price-volatility scenarios.</t>
  </si>
  <si>
    <t>2.  THE 16 SCENARIO STRUCTURE</t>
  </si>
  <si>
    <t>Each scenario is defined by two parameters:</t>
  </si>
  <si>
    <t xml:space="preserve">        Price fraction:  0, ±1/3, ±2/3, ±1 of the Price Scan Range (PSR)</t>
  </si>
  <si>
    <t xml:space="preserve">        Volatility fraction:  ±1 of the Volatility Scan Range (VSR)</t>
  </si>
  <si>
    <t xml:space="preserve">        Scenarios 15 &amp; 16:  ±2× PSR (extreme tail), volatility unchanged, weighted at 35%</t>
  </si>
  <si>
    <t>3.  KEY FORMULAS</t>
  </si>
  <si>
    <t>Scenario price move limit. NSE sets ~3.5% for Nifty, wider during stressed markets.</t>
  </si>
  <si>
    <t>±VIX change per scenario. NSE currently uses ±4 percentage points.</t>
  </si>
  <si>
    <t>Scenario price move</t>
  </si>
  <si>
    <t>Scenario new spot</t>
  </si>
  <si>
    <t>Scenario new volatility</t>
  </si>
  <si>
    <t>Futures P&amp;L</t>
  </si>
  <si>
    <t>Option P&amp;L (approx)</t>
  </si>
  <si>
    <t>≈ (−Delta × ΔS  +  Vega × ΔVol)  ×  Lot Size   [Full model uses Black-Scholes revaluation]</t>
  </si>
  <si>
    <t>Portfolio P&amp;L (scenario)</t>
  </si>
  <si>
    <t>Weighted P&amp;L</t>
  </si>
  <si>
    <t>Exposure Margin (Index Fut)</t>
  </si>
  <si>
    <t>Total Initial Margin</t>
  </si>
  <si>
    <t>4.  WHY MARGIN CHANGES OVERNIGHT</t>
  </si>
  <si>
    <t>SPAN recalculates margin multiple times per trading session using live inputs:</t>
  </si>
  <si>
    <t xml:space="preserve">        India VIX rises before high-impact events → scenario losses increase → SPAN margin increases</t>
  </si>
  <si>
    <t xml:space="preserve">        NSE widens the PSR before major events → larger price moves in each scenario → higher losses</t>
  </si>
  <si>
    <t xml:space="preserve">    Position unchanged. Margin changes because the risk model inputs changed.</t>
  </si>
  <si>
    <t>5.  PORTFOLIO MARGINING</t>
  </si>
  <si>
    <t>SPAN evaluates the entire portfolio, not individual positions.</t>
  </si>
  <si>
    <t>If a long put hedge gains value in the same scenario where short futures loses:</t>
  </si>
  <si>
    <t xml:space="preserve">        → Net portfolio loss in that scenario is lower</t>
  </si>
  <si>
    <t xml:space="preserve">        → Worst-case portfolio loss is lower</t>
  </si>
  <si>
    <t xml:space="preserve">        → SPAN margin is lower</t>
  </si>
  <si>
    <t>This is why a hedged portfolio requires less margin than the sum of its individual parts.</t>
  </si>
  <si>
    <t>6.  MODEL LIMITATIONS</t>
  </si>
  <si>
    <t>Option revaluation in this model uses a delta-vega approximation, not full Black-Scholes.</t>
  </si>
  <si>
    <t>Actual NSE SPAN uses Black-Scholes revaluation for each option under each scenario.</t>
  </si>
  <si>
    <t>VIX sensitivity table uses approximate margin — actual SPAN parameters update each session.</t>
  </si>
  <si>
    <t>PSR, VSR, and exposure margin rates set by NSE and subject to change.</t>
  </si>
  <si>
    <t>SPAN Margin  +  Exposure Margin</t>
  </si>
  <si>
    <t>Σ P&amp;L across all positions in the portfolio under that scenario</t>
  </si>
  <si>
    <t>Current VIX  +  (Vol Fraction × VSR)</t>
  </si>
  <si>
    <t>Price Fraction  ×  PSR  ×  Current Spot</t>
  </si>
  <si>
    <t>Option (Call)</t>
  </si>
  <si>
    <t>Nifty 22000 Call</t>
  </si>
  <si>
    <t>Hedged Position
(Short Fut + Long Call)</t>
  </si>
  <si>
    <t>Short Fut + Long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</si>
</sst>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0.0"/>
    <numFmt numFmtId="165" formatCode="0.0%"/>
    <numFmt numFmtId="166" formatCode="0.0&quot;x&quot;"/>
    <numFmt numFmtId="167" formatCode="0;0;0"/>
    <numFmt numFmtId="168" formatCode="\+0.00;\-0.00;0.00"/>
    <numFmt numFmtId="169" formatCode="\+0.0%;\-0.0%;\-"/>
    <numFmt numFmtId="170" formatCode="\+0.0;\-0.0;\-"/>
    <numFmt numFmtId="171" formatCode="#,##0;[Red]\(#,##0\);&quot;-&quot;"/>
    <numFmt numFmtId="172" formatCode="\+#,##0;\-#,##0;\-"/>
  </numFmts>
  <fonts count="32" x14ac:knownFonts="1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</font>
    <font>
      <i/>
      <sz val="10"/>
      <color rgb="FFFFFFFF"/>
      <name val="Calibri"/>
      <family val="2"/>
    </font>
    <font>
      <b/>
      <sz val="9"/>
      <color rgb="FF1E3A5F"/>
      <name val="Calibri"/>
      <family val="2"/>
    </font>
    <font>
      <sz val="9"/>
      <color rgb="FF0000FF"/>
      <name val="Calibri"/>
      <family val="2"/>
    </font>
    <font>
      <sz val="9"/>
      <color rgb="FF374151"/>
      <name val="Calibri"/>
      <family val="2"/>
    </font>
    <font>
      <sz val="9"/>
      <color rgb="FF000000"/>
      <name val="Calibri"/>
      <family val="2"/>
    </font>
    <font>
      <sz val="9"/>
      <color rgb="FF006400"/>
      <name val="Calibri"/>
      <family val="2"/>
    </font>
    <font>
      <sz val="9"/>
      <color rgb="FFB91C1C"/>
      <name val="Calibri"/>
      <family val="2"/>
    </font>
    <font>
      <sz val="9"/>
      <color rgb="FF1A7340"/>
      <name val="Calibri"/>
      <family val="2"/>
    </font>
    <font>
      <b/>
      <sz val="10"/>
      <color rgb="FFFFFFFF"/>
      <name val="Calibri"/>
      <family val="2"/>
    </font>
    <font>
      <i/>
      <sz val="8"/>
      <color rgb="FF6B7280"/>
      <name val="Calibri"/>
      <family val="2"/>
    </font>
    <font>
      <b/>
      <sz val="12"/>
      <color rgb="FFFFFFFF"/>
      <name val="Calibri"/>
      <family val="2"/>
    </font>
    <font>
      <sz val="9"/>
      <color rgb="FF6B7280"/>
      <name val="Calibri"/>
      <family val="2"/>
    </font>
    <font>
      <b/>
      <sz val="8"/>
      <color rgb="FFFFFFFF"/>
      <name val="Calibri"/>
      <family val="2"/>
    </font>
    <font>
      <b/>
      <sz val="9"/>
      <color rgb="FFB91C1C"/>
      <name val="Calibri"/>
      <family val="2"/>
    </font>
    <font>
      <b/>
      <sz val="9"/>
      <color rgb="FF1A7340"/>
      <name val="Calibri"/>
      <family val="2"/>
    </font>
    <font>
      <b/>
      <sz val="9"/>
      <color rgb="FF000000"/>
      <name val="Calibri"/>
      <family val="2"/>
    </font>
    <font>
      <b/>
      <sz val="9"/>
      <color rgb="FFB45309"/>
      <name val="Calibri"/>
      <family val="2"/>
    </font>
    <font>
      <sz val="9"/>
      <color rgb="FFB45309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rgb="FF1E3A5F"/>
      <name val="Calibri"/>
      <family val="2"/>
    </font>
    <font>
      <sz val="8"/>
      <color rgb="FF6B7280"/>
      <name val="Calibri"/>
      <family val="2"/>
    </font>
    <font>
      <sz val="10"/>
      <color rgb="FF6B7280"/>
      <name val="Calibri"/>
      <family val="2"/>
    </font>
    <font>
      <sz val="10"/>
      <color rgb="FF006400"/>
      <name val="Calibri"/>
      <family val="2"/>
    </font>
    <font>
      <sz val="10"/>
      <color rgb="FF1A7340"/>
      <name val="Calibri"/>
      <family val="2"/>
    </font>
    <font>
      <b/>
      <sz val="10"/>
      <color rgb="FF1A7340"/>
      <name val="Calibri"/>
      <family val="2"/>
    </font>
    <font>
      <b/>
      <sz val="9"/>
      <color rgb="FF7B0000"/>
      <name val="Calibri"/>
      <family val="2"/>
    </font>
    <font>
      <sz val="9"/>
      <color rgb="FF4A6FA5"/>
      <name val="Calibri"/>
      <family val="2"/>
    </font>
    <font>
      <b/>
      <sz val="9"/>
      <color rgb="FF4A6FA5"/>
      <name val="Calibri"/>
      <family val="2"/>
    </font>
    <font>
      <i/>
      <sz val="9"/>
      <color rgb="FF37415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E3A5F"/>
      </patternFill>
    </fill>
    <fill>
      <patternFill patternType="solid">
        <fgColor rgb="FF2D4E7A"/>
      </patternFill>
    </fill>
    <fill>
      <patternFill patternType="solid">
        <fgColor rgb="FFEBF0F8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F8F9FA"/>
      </patternFill>
    </fill>
    <fill>
      <patternFill patternType="solid">
        <fgColor rgb="FFF2F4F6"/>
      </patternFill>
    </fill>
    <fill>
      <patternFill patternType="solid">
        <fgColor rgb="FF4A6FA5"/>
      </patternFill>
    </fill>
    <fill>
      <patternFill patternType="solid">
        <fgColor rgb="FFFFF8E1"/>
      </patternFill>
    </fill>
    <fill>
      <patternFill patternType="solid">
        <fgColor rgb="FFFFEBEE"/>
      </patternFill>
    </fill>
    <fill>
      <patternFill patternType="solid">
        <fgColor rgb="FFFCE4EC"/>
      </patternFill>
    </fill>
  </fills>
  <borders count="11">
    <border>
      <left/>
      <right/>
      <top/>
      <bottom/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1E3A5F"/>
      </left>
      <right style="thin">
        <color rgb="FF1E3A5F"/>
      </right>
      <top style="thin">
        <color rgb="FF1E3A5F"/>
      </top>
      <bottom style="medium">
        <color rgb="FF1E3A5F"/>
      </bottom>
      <diagonal/>
    </border>
    <border>
      <left style="thin">
        <color rgb="FF4A6FA5"/>
      </left>
      <right style="thin">
        <color rgb="FF4A6FA5"/>
      </right>
      <top style="thin">
        <color rgb="FF4A6FA5"/>
      </top>
      <bottom style="thin">
        <color rgb="FF4A6FA5"/>
      </bottom>
      <diagonal/>
    </border>
    <border>
      <left/>
      <right/>
      <top style="thin">
        <color rgb="FF4A6FA5"/>
      </top>
      <bottom style="thin">
        <color rgb="FF4A6FA5"/>
      </bottom>
      <diagonal/>
    </border>
    <border>
      <left/>
      <right style="thin">
        <color rgb="FF4A6FA5"/>
      </right>
      <top style="thin">
        <color rgb="FF4A6FA5"/>
      </top>
      <bottom style="thin">
        <color rgb="FF4A6FA5"/>
      </bottom>
      <diagonal/>
    </border>
    <border>
      <left style="thin">
        <color rgb="FF2D4E7A"/>
      </left>
      <right style="thin">
        <color rgb="FF2D4E7A"/>
      </right>
      <top style="thin">
        <color rgb="FF2D4E7A"/>
      </top>
      <bottom style="medium">
        <color rgb="FF2D4E7A"/>
      </bottom>
      <diagonal/>
    </border>
    <border>
      <left style="thin">
        <color rgb="FF2D4E7A"/>
      </left>
      <right style="thin">
        <color rgb="FF2D4E7A"/>
      </right>
      <top style="thin">
        <color rgb="FF1E3A5F"/>
      </top>
      <bottom style="thin">
        <color rgb="FF1E3A5F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0" fillId="2" borderId="0" xfId="0" applyFill="1"/>
    <xf numFmtId="0" fontId="5" fillId="9" borderId="2" xfId="0" applyFont="1" applyFill="1" applyBorder="1" applyAlignment="1">
      <alignment horizontal="left" vertical="center"/>
    </xf>
    <xf numFmtId="0" fontId="13" fillId="9" borderId="2" xfId="0" applyFont="1" applyFill="1" applyBorder="1" applyAlignment="1">
      <alignment horizontal="center" vertical="center"/>
    </xf>
    <xf numFmtId="3" fontId="4" fillId="6" borderId="2" xfId="0" applyNumberFormat="1" applyFont="1" applyFill="1" applyBorder="1" applyAlignment="1">
      <alignment horizontal="right" vertical="center"/>
    </xf>
    <xf numFmtId="164" fontId="4" fillId="6" borderId="2" xfId="0" applyNumberFormat="1" applyFont="1" applyFill="1" applyBorder="1" applyAlignment="1">
      <alignment horizontal="right" vertical="center"/>
    </xf>
    <xf numFmtId="10" fontId="4" fillId="6" borderId="2" xfId="0" applyNumberFormat="1" applyFont="1" applyFill="1" applyBorder="1" applyAlignment="1">
      <alignment horizontal="right" vertical="center"/>
    </xf>
    <xf numFmtId="1" fontId="4" fillId="6" borderId="2" xfId="0" applyNumberFormat="1" applyFont="1" applyFill="1" applyBorder="1" applyAlignment="1">
      <alignment horizontal="right" vertical="center"/>
    </xf>
    <xf numFmtId="165" fontId="4" fillId="6" borderId="2" xfId="0" applyNumberFormat="1" applyFont="1" applyFill="1" applyBorder="1" applyAlignment="1">
      <alignment horizontal="right" vertical="center"/>
    </xf>
    <xf numFmtId="166" fontId="4" fillId="6" borderId="2" xfId="0" applyNumberFormat="1" applyFont="1" applyFill="1" applyBorder="1" applyAlignment="1">
      <alignment horizontal="right" vertical="center"/>
    </xf>
    <xf numFmtId="9" fontId="4" fillId="6" borderId="2" xfId="0" applyNumberFormat="1" applyFont="1" applyFill="1" applyBorder="1" applyAlignment="1">
      <alignment horizontal="right" vertical="center"/>
    </xf>
    <xf numFmtId="0" fontId="14" fillId="4" borderId="10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167" fontId="4" fillId="6" borderId="2" xfId="0" applyNumberFormat="1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center" vertical="center"/>
    </xf>
    <xf numFmtId="1" fontId="7" fillId="2" borderId="2" xfId="0" applyNumberFormat="1" applyFont="1" applyFill="1" applyBorder="1" applyAlignment="1">
      <alignment horizontal="right" vertical="center"/>
    </xf>
    <xf numFmtId="4" fontId="7" fillId="2" borderId="2" xfId="0" applyNumberFormat="1" applyFont="1" applyFill="1" applyBorder="1" applyAlignment="1">
      <alignment horizontal="right" vertical="center"/>
    </xf>
    <xf numFmtId="3" fontId="6" fillId="2" borderId="2" xfId="0" applyNumberFormat="1" applyFont="1" applyFill="1" applyBorder="1" applyAlignment="1">
      <alignment horizontal="right" vertical="center"/>
    </xf>
    <xf numFmtId="0" fontId="16" fillId="6" borderId="2" xfId="0" applyFont="1" applyFill="1" applyBorder="1" applyAlignment="1">
      <alignment horizontal="center" vertical="center"/>
    </xf>
    <xf numFmtId="3" fontId="7" fillId="2" borderId="2" xfId="0" applyNumberFormat="1" applyFont="1" applyFill="1" applyBorder="1" applyAlignment="1">
      <alignment horizontal="right" vertical="center"/>
    </xf>
    <xf numFmtId="4" fontId="6" fillId="2" borderId="2" xfId="0" applyNumberFormat="1" applyFont="1" applyFill="1" applyBorder="1" applyAlignment="1">
      <alignment horizontal="right" vertical="center"/>
    </xf>
    <xf numFmtId="165" fontId="6" fillId="2" borderId="2" xfId="0" applyNumberFormat="1" applyFont="1" applyFill="1" applyBorder="1" applyAlignment="1">
      <alignment horizontal="right" vertical="center"/>
    </xf>
    <xf numFmtId="10" fontId="6" fillId="2" borderId="2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center" vertical="center"/>
    </xf>
    <xf numFmtId="2" fontId="4" fillId="6" borderId="2" xfId="0" applyNumberFormat="1" applyFont="1" applyFill="1" applyBorder="1" applyAlignment="1">
      <alignment horizontal="right" vertical="center"/>
    </xf>
    <xf numFmtId="168" fontId="4" fillId="6" borderId="2" xfId="0" applyNumberFormat="1" applyFont="1" applyFill="1" applyBorder="1" applyAlignment="1">
      <alignment horizontal="right" vertical="center"/>
    </xf>
    <xf numFmtId="169" fontId="6" fillId="2" borderId="2" xfId="0" applyNumberFormat="1" applyFont="1" applyFill="1" applyBorder="1" applyAlignment="1">
      <alignment horizontal="right" vertical="center"/>
    </xf>
    <xf numFmtId="170" fontId="6" fillId="2" borderId="2" xfId="0" applyNumberFormat="1" applyFont="1" applyFill="1" applyBorder="1" applyAlignment="1">
      <alignment horizontal="right" vertical="center"/>
    </xf>
    <xf numFmtId="171" fontId="6" fillId="2" borderId="2" xfId="0" applyNumberFormat="1" applyFont="1" applyFill="1" applyBorder="1" applyAlignment="1">
      <alignment horizontal="right" vertical="center"/>
    </xf>
    <xf numFmtId="171" fontId="17" fillId="2" borderId="2" xfId="0" applyNumberFormat="1" applyFont="1" applyFill="1" applyBorder="1" applyAlignment="1">
      <alignment horizontal="right" vertical="center"/>
    </xf>
    <xf numFmtId="9" fontId="5" fillId="2" borderId="2" xfId="0" applyNumberFormat="1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169" fontId="6" fillId="5" borderId="2" xfId="0" applyNumberFormat="1" applyFont="1" applyFill="1" applyBorder="1" applyAlignment="1">
      <alignment horizontal="right" vertical="center"/>
    </xf>
    <xf numFmtId="3" fontId="6" fillId="5" borderId="2" xfId="0" applyNumberFormat="1" applyFont="1" applyFill="1" applyBorder="1" applyAlignment="1">
      <alignment horizontal="right" vertical="center"/>
    </xf>
    <xf numFmtId="170" fontId="6" fillId="5" borderId="2" xfId="0" applyNumberFormat="1" applyFont="1" applyFill="1" applyBorder="1" applyAlignment="1">
      <alignment horizontal="right" vertical="center"/>
    </xf>
    <xf numFmtId="165" fontId="6" fillId="5" borderId="2" xfId="0" applyNumberFormat="1" applyFont="1" applyFill="1" applyBorder="1" applyAlignment="1">
      <alignment horizontal="right" vertical="center"/>
    </xf>
    <xf numFmtId="171" fontId="6" fillId="5" borderId="2" xfId="0" applyNumberFormat="1" applyFont="1" applyFill="1" applyBorder="1" applyAlignment="1">
      <alignment horizontal="right" vertical="center"/>
    </xf>
    <xf numFmtId="171" fontId="17" fillId="5" borderId="2" xfId="0" applyNumberFormat="1" applyFont="1" applyFill="1" applyBorder="1" applyAlignment="1">
      <alignment horizontal="right" vertical="center"/>
    </xf>
    <xf numFmtId="9" fontId="19" fillId="5" borderId="2" xfId="0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3" fontId="21" fillId="3" borderId="1" xfId="0" applyNumberFormat="1" applyFont="1" applyFill="1" applyBorder="1" applyAlignment="1">
      <alignment horizontal="right" vertical="center"/>
    </xf>
    <xf numFmtId="0" fontId="5" fillId="9" borderId="2" xfId="0" applyFont="1" applyFill="1" applyBorder="1" applyAlignment="1">
      <alignment horizontal="left" vertical="center"/>
    </xf>
    <xf numFmtId="171" fontId="7" fillId="2" borderId="2" xfId="0" applyNumberFormat="1" applyFont="1" applyFill="1" applyBorder="1" applyAlignment="1">
      <alignment horizontal="right" vertical="center"/>
    </xf>
    <xf numFmtId="3" fontId="22" fillId="2" borderId="1" xfId="0" applyNumberFormat="1" applyFont="1" applyFill="1" applyBorder="1" applyAlignment="1">
      <alignment horizontal="right" vertical="center"/>
    </xf>
    <xf numFmtId="165" fontId="7" fillId="2" borderId="2" xfId="0" applyNumberFormat="1" applyFont="1" applyFill="1" applyBorder="1" applyAlignment="1">
      <alignment horizontal="right" vertical="center"/>
    </xf>
    <xf numFmtId="3" fontId="12" fillId="3" borderId="1" xfId="0" applyNumberFormat="1" applyFont="1" applyFill="1" applyBorder="1" applyAlignment="1">
      <alignment horizontal="right" vertical="center"/>
    </xf>
    <xf numFmtId="0" fontId="14" fillId="11" borderId="10" xfId="0" applyFont="1" applyFill="1" applyBorder="1" applyAlignment="1">
      <alignment horizontal="center" vertical="center" wrapText="1"/>
    </xf>
    <xf numFmtId="0" fontId="23" fillId="9" borderId="2" xfId="0" applyFont="1" applyFill="1" applyBorder="1" applyAlignment="1">
      <alignment horizontal="center" vertical="center"/>
    </xf>
    <xf numFmtId="49" fontId="5" fillId="9" borderId="2" xfId="0" applyNumberFormat="1" applyFont="1" applyFill="1" applyBorder="1" applyAlignment="1">
      <alignment horizontal="left" vertical="center" indent="1"/>
    </xf>
    <xf numFmtId="49" fontId="13" fillId="9" borderId="2" xfId="0" applyNumberFormat="1" applyFont="1" applyFill="1" applyBorder="1" applyAlignment="1">
      <alignment horizontal="center" vertical="center"/>
    </xf>
    <xf numFmtId="49" fontId="13" fillId="2" borderId="2" xfId="0" applyNumberFormat="1" applyFont="1" applyFill="1" applyBorder="1" applyAlignment="1">
      <alignment horizontal="center" vertical="center"/>
    </xf>
    <xf numFmtId="3" fontId="9" fillId="2" borderId="2" xfId="0" applyNumberFormat="1" applyFont="1" applyFill="1" applyBorder="1" applyAlignment="1">
      <alignment horizontal="right" vertical="center"/>
    </xf>
    <xf numFmtId="165" fontId="9" fillId="2" borderId="2" xfId="0" applyNumberFormat="1" applyFont="1" applyFill="1" applyBorder="1" applyAlignment="1">
      <alignment horizontal="right" vertical="center"/>
    </xf>
    <xf numFmtId="49" fontId="10" fillId="3" borderId="1" xfId="0" applyNumberFormat="1" applyFont="1" applyFill="1" applyBorder="1" applyAlignment="1">
      <alignment horizontal="left" vertical="center" indent="1"/>
    </xf>
    <xf numFmtId="49" fontId="24" fillId="3" borderId="1" xfId="0" applyNumberFormat="1" applyFont="1" applyFill="1" applyBorder="1" applyAlignment="1">
      <alignment horizontal="center" vertical="center"/>
    </xf>
    <xf numFmtId="3" fontId="25" fillId="10" borderId="1" xfId="0" applyNumberFormat="1" applyFont="1" applyFill="1" applyBorder="1" applyAlignment="1">
      <alignment horizontal="right" vertical="center"/>
    </xf>
    <xf numFmtId="49" fontId="24" fillId="10" borderId="1" xfId="0" applyNumberFormat="1" applyFont="1" applyFill="1" applyBorder="1" applyAlignment="1">
      <alignment horizontal="center" vertical="center"/>
    </xf>
    <xf numFmtId="3" fontId="26" fillId="10" borderId="1" xfId="0" applyNumberFormat="1" applyFont="1" applyFill="1" applyBorder="1" applyAlignment="1">
      <alignment horizontal="right" vertical="center"/>
    </xf>
    <xf numFmtId="3" fontId="27" fillId="8" borderId="1" xfId="0" applyNumberFormat="1" applyFont="1" applyFill="1" applyBorder="1" applyAlignment="1">
      <alignment horizontal="right" vertical="center"/>
    </xf>
    <xf numFmtId="165" fontId="27" fillId="8" borderId="1" xfId="0" applyNumberFormat="1" applyFont="1" applyFill="1" applyBorder="1" applyAlignment="1">
      <alignment horizontal="right" vertical="center"/>
    </xf>
    <xf numFmtId="164" fontId="6" fillId="8" borderId="2" xfId="0" applyNumberFormat="1" applyFont="1" applyFill="1" applyBorder="1" applyAlignment="1">
      <alignment horizontal="center" vertical="center"/>
    </xf>
    <xf numFmtId="165" fontId="6" fillId="8" borderId="2" xfId="0" applyNumberFormat="1" applyFont="1" applyFill="1" applyBorder="1" applyAlignment="1">
      <alignment horizontal="right" vertical="center"/>
    </xf>
    <xf numFmtId="3" fontId="6" fillId="8" borderId="2" xfId="0" applyNumberFormat="1" applyFont="1" applyFill="1" applyBorder="1" applyAlignment="1">
      <alignment horizontal="right" vertical="center"/>
    </xf>
    <xf numFmtId="172" fontId="9" fillId="8" borderId="2" xfId="0" applyNumberFormat="1" applyFont="1" applyFill="1" applyBorder="1" applyAlignment="1">
      <alignment horizontal="right" vertical="center"/>
    </xf>
    <xf numFmtId="169" fontId="9" fillId="8" borderId="2" xfId="0" applyNumberFormat="1" applyFont="1" applyFill="1" applyBorder="1" applyAlignment="1">
      <alignment horizontal="right" vertical="center"/>
    </xf>
    <xf numFmtId="0" fontId="16" fillId="8" borderId="2" xfId="0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/>
    </xf>
    <xf numFmtId="3" fontId="17" fillId="5" borderId="2" xfId="0" applyNumberFormat="1" applyFont="1" applyFill="1" applyBorder="1" applyAlignment="1">
      <alignment horizontal="right" vertical="center"/>
    </xf>
    <xf numFmtId="49" fontId="13" fillId="5" borderId="2" xfId="0" applyNumberFormat="1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65" fontId="19" fillId="8" borderId="2" xfId="0" applyNumberFormat="1" applyFont="1" applyFill="1" applyBorder="1" applyAlignment="1">
      <alignment horizontal="right" vertical="center"/>
    </xf>
    <xf numFmtId="172" fontId="8" fillId="8" borderId="2" xfId="0" applyNumberFormat="1" applyFont="1" applyFill="1" applyBorder="1" applyAlignment="1">
      <alignment horizontal="right" vertical="center"/>
    </xf>
    <xf numFmtId="169" fontId="8" fillId="8" borderId="2" xfId="0" applyNumberFormat="1" applyFont="1" applyFill="1" applyBorder="1" applyAlignment="1">
      <alignment horizontal="right" vertical="center"/>
    </xf>
    <xf numFmtId="164" fontId="6" fillId="12" borderId="2" xfId="0" applyNumberFormat="1" applyFont="1" applyFill="1" applyBorder="1" applyAlignment="1">
      <alignment horizontal="center" vertical="center"/>
    </xf>
    <xf numFmtId="165" fontId="6" fillId="12" borderId="2" xfId="0" applyNumberFormat="1" applyFont="1" applyFill="1" applyBorder="1" applyAlignment="1">
      <alignment horizontal="right" vertical="center"/>
    </xf>
    <xf numFmtId="165" fontId="19" fillId="12" borderId="2" xfId="0" applyNumberFormat="1" applyFont="1" applyFill="1" applyBorder="1" applyAlignment="1">
      <alignment horizontal="right" vertical="center"/>
    </xf>
    <xf numFmtId="3" fontId="6" fillId="12" borderId="2" xfId="0" applyNumberFormat="1" applyFont="1" applyFill="1" applyBorder="1" applyAlignment="1">
      <alignment horizontal="right" vertical="center"/>
    </xf>
    <xf numFmtId="172" fontId="8" fillId="12" borderId="2" xfId="0" applyNumberFormat="1" applyFont="1" applyFill="1" applyBorder="1" applyAlignment="1">
      <alignment horizontal="right" vertical="center"/>
    </xf>
    <xf numFmtId="169" fontId="8" fillId="12" borderId="2" xfId="0" applyNumberFormat="1" applyFont="1" applyFill="1" applyBorder="1" applyAlignment="1">
      <alignment horizontal="right" vertical="center"/>
    </xf>
    <xf numFmtId="0" fontId="18" fillId="12" borderId="2" xfId="0" applyFont="1" applyFill="1" applyBorder="1" applyAlignment="1">
      <alignment horizontal="center" vertical="center"/>
    </xf>
    <xf numFmtId="164" fontId="6" fillId="13" borderId="2" xfId="0" applyNumberFormat="1" applyFont="1" applyFill="1" applyBorder="1" applyAlignment="1">
      <alignment horizontal="center" vertical="center"/>
    </xf>
    <xf numFmtId="165" fontId="6" fillId="13" borderId="2" xfId="0" applyNumberFormat="1" applyFont="1" applyFill="1" applyBorder="1" applyAlignment="1">
      <alignment horizontal="right" vertical="center"/>
    </xf>
    <xf numFmtId="165" fontId="19" fillId="13" borderId="2" xfId="0" applyNumberFormat="1" applyFont="1" applyFill="1" applyBorder="1" applyAlignment="1">
      <alignment horizontal="right" vertical="center"/>
    </xf>
    <xf numFmtId="3" fontId="8" fillId="13" borderId="2" xfId="0" applyNumberFormat="1" applyFont="1" applyFill="1" applyBorder="1" applyAlignment="1">
      <alignment horizontal="right" vertical="center"/>
    </xf>
    <xf numFmtId="3" fontId="6" fillId="13" borderId="2" xfId="0" applyNumberFormat="1" applyFont="1" applyFill="1" applyBorder="1" applyAlignment="1">
      <alignment horizontal="right" vertical="center"/>
    </xf>
    <xf numFmtId="172" fontId="8" fillId="13" borderId="2" xfId="0" applyNumberFormat="1" applyFont="1" applyFill="1" applyBorder="1" applyAlignment="1">
      <alignment horizontal="right" vertical="center"/>
    </xf>
    <xf numFmtId="169" fontId="8" fillId="13" borderId="2" xfId="0" applyNumberFormat="1" applyFont="1" applyFill="1" applyBorder="1" applyAlignment="1">
      <alignment horizontal="right" vertical="center"/>
    </xf>
    <xf numFmtId="0" fontId="15" fillId="13" borderId="2" xfId="0" applyFont="1" applyFill="1" applyBorder="1" applyAlignment="1">
      <alignment horizontal="center" vertical="center"/>
    </xf>
    <xf numFmtId="164" fontId="6" fillId="14" borderId="2" xfId="0" applyNumberFormat="1" applyFont="1" applyFill="1" applyBorder="1" applyAlignment="1">
      <alignment horizontal="center" vertical="center"/>
    </xf>
    <xf numFmtId="165" fontId="6" fillId="14" borderId="2" xfId="0" applyNumberFormat="1" applyFont="1" applyFill="1" applyBorder="1" applyAlignment="1">
      <alignment horizontal="right" vertical="center"/>
    </xf>
    <xf numFmtId="165" fontId="19" fillId="14" borderId="2" xfId="0" applyNumberFormat="1" applyFont="1" applyFill="1" applyBorder="1" applyAlignment="1">
      <alignment horizontal="right" vertical="center"/>
    </xf>
    <xf numFmtId="3" fontId="8" fillId="14" borderId="2" xfId="0" applyNumberFormat="1" applyFont="1" applyFill="1" applyBorder="1" applyAlignment="1">
      <alignment horizontal="right" vertical="center"/>
    </xf>
    <xf numFmtId="3" fontId="6" fillId="14" borderId="2" xfId="0" applyNumberFormat="1" applyFont="1" applyFill="1" applyBorder="1" applyAlignment="1">
      <alignment horizontal="right" vertical="center"/>
    </xf>
    <xf numFmtId="172" fontId="8" fillId="14" borderId="2" xfId="0" applyNumberFormat="1" applyFont="1" applyFill="1" applyBorder="1" applyAlignment="1">
      <alignment horizontal="right" vertical="center"/>
    </xf>
    <xf numFmtId="169" fontId="8" fillId="14" borderId="2" xfId="0" applyNumberFormat="1" applyFont="1" applyFill="1" applyBorder="1" applyAlignment="1">
      <alignment horizontal="right" vertical="center"/>
    </xf>
    <xf numFmtId="0" fontId="28" fillId="14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8" fillId="7" borderId="2" xfId="0" applyFont="1" applyFill="1" applyBorder="1" applyAlignment="1">
      <alignment horizontal="left" vertical="center" indent="1"/>
    </xf>
    <xf numFmtId="0" fontId="3" fillId="5" borderId="6" xfId="0" applyFont="1" applyFill="1" applyBorder="1" applyAlignment="1">
      <alignment horizontal="left" vertical="center" indent="1"/>
    </xf>
    <xf numFmtId="0" fontId="0" fillId="0" borderId="7" xfId="0" applyBorder="1"/>
    <xf numFmtId="0" fontId="0" fillId="0" borderId="8" xfId="0" applyBorder="1"/>
    <xf numFmtId="0" fontId="5" fillId="2" borderId="0" xfId="0" applyFont="1" applyFill="1" applyAlignment="1">
      <alignment horizontal="left" vertical="center"/>
    </xf>
    <xf numFmtId="0" fontId="0" fillId="0" borderId="0" xfId="0"/>
    <xf numFmtId="0" fontId="4" fillId="6" borderId="2" xfId="0" applyFont="1" applyFill="1" applyBorder="1" applyAlignment="1">
      <alignment horizontal="left" vertical="center" indent="1"/>
    </xf>
    <xf numFmtId="0" fontId="2" fillId="4" borderId="0" xfId="0" applyFont="1" applyFill="1" applyAlignment="1">
      <alignment horizontal="left" vertical="center" indent="2"/>
    </xf>
    <xf numFmtId="0" fontId="10" fillId="3" borderId="5" xfId="0" applyFont="1" applyFill="1" applyBorder="1" applyAlignment="1">
      <alignment horizontal="left" vertical="center" indent="1"/>
    </xf>
    <xf numFmtId="0" fontId="1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 indent="2"/>
    </xf>
    <xf numFmtId="0" fontId="6" fillId="2" borderId="2" xfId="0" applyFont="1" applyFill="1" applyBorder="1" applyAlignment="1">
      <alignment horizontal="left" vertical="center" indent="1"/>
    </xf>
    <xf numFmtId="0" fontId="7" fillId="2" borderId="2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9" fillId="8" borderId="2" xfId="0" applyFont="1" applyFill="1" applyBorder="1" applyAlignment="1">
      <alignment horizontal="left" vertical="center" indent="1"/>
    </xf>
    <xf numFmtId="0" fontId="11" fillId="2" borderId="2" xfId="0" applyFont="1" applyFill="1" applyBorder="1" applyAlignment="1">
      <alignment horizontal="left" vertical="center"/>
    </xf>
    <xf numFmtId="0" fontId="10" fillId="4" borderId="9" xfId="0" applyFont="1" applyFill="1" applyBorder="1" applyAlignment="1">
      <alignment horizontal="left" vertical="center" indent="1"/>
    </xf>
    <xf numFmtId="0" fontId="5" fillId="9" borderId="2" xfId="0" applyFont="1" applyFill="1" applyBorder="1" applyAlignment="1">
      <alignment horizontal="left" vertical="center"/>
    </xf>
    <xf numFmtId="0" fontId="12" fillId="3" borderId="0" xfId="0" applyFont="1" applyFill="1" applyAlignment="1">
      <alignment horizontal="left" vertical="center" indent="1"/>
    </xf>
    <xf numFmtId="0" fontId="20" fillId="3" borderId="1" xfId="0" applyFont="1" applyFill="1" applyBorder="1" applyAlignment="1">
      <alignment horizontal="left" vertical="center" indent="1"/>
    </xf>
    <xf numFmtId="0" fontId="0" fillId="3" borderId="0" xfId="0" applyFill="1"/>
    <xf numFmtId="0" fontId="11" fillId="5" borderId="0" xfId="0" applyFont="1" applyFill="1" applyAlignment="1">
      <alignment horizontal="left" vertical="center" indent="1"/>
    </xf>
    <xf numFmtId="0" fontId="21" fillId="3" borderId="1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left" vertical="center"/>
    </xf>
    <xf numFmtId="3" fontId="7" fillId="2" borderId="2" xfId="0" applyNumberFormat="1" applyFont="1" applyFill="1" applyBorder="1" applyAlignment="1">
      <alignment horizontal="right" vertical="center"/>
    </xf>
    <xf numFmtId="164" fontId="7" fillId="2" borderId="2" xfId="0" applyNumberFormat="1" applyFont="1" applyFill="1" applyBorder="1" applyAlignment="1">
      <alignment horizontal="right" vertical="center"/>
    </xf>
    <xf numFmtId="1" fontId="6" fillId="2" borderId="2" xfId="0" applyNumberFormat="1" applyFont="1" applyFill="1" applyBorder="1" applyAlignment="1">
      <alignment horizontal="right" vertical="center"/>
    </xf>
    <xf numFmtId="49" fontId="6" fillId="2" borderId="2" xfId="0" applyNumberFormat="1" applyFont="1" applyFill="1" applyBorder="1" applyAlignment="1">
      <alignment horizontal="right" vertical="center"/>
    </xf>
    <xf numFmtId="165" fontId="7" fillId="2" borderId="2" xfId="0" applyNumberFormat="1" applyFont="1" applyFill="1" applyBorder="1" applyAlignment="1">
      <alignment horizontal="right" vertical="center"/>
    </xf>
    <xf numFmtId="0" fontId="10" fillId="4" borderId="5" xfId="0" applyFont="1" applyFill="1" applyBorder="1" applyAlignment="1">
      <alignment horizontal="left" vertical="center" indent="1"/>
    </xf>
    <xf numFmtId="0" fontId="30" fillId="5" borderId="2" xfId="0" applyFont="1" applyFill="1" applyBorder="1" applyAlignment="1">
      <alignment horizontal="left" vertical="center" indent="1"/>
    </xf>
    <xf numFmtId="0" fontId="31" fillId="2" borderId="2" xfId="0" applyFont="1" applyFill="1" applyBorder="1" applyAlignment="1">
      <alignment horizontal="left" vertical="center"/>
    </xf>
    <xf numFmtId="0" fontId="29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N50"/>
  <sheetViews>
    <sheetView showGridLines="0" tabSelected="1" zoomScale="115" zoomScaleNormal="115" workbookViewId="0">
      <selection activeCell="B3" sqref="B3:L3"/>
    </sheetView>
  </sheetViews>
  <sheetFormatPr defaultRowHeight="14.5" x14ac:dyDescent="0.35"/>
  <cols>
    <col min="1" max="1" width="2" customWidth="1"/>
    <col min="2" max="2" width="16" customWidth="1"/>
    <col min="3" max="4" width="10" customWidth="1"/>
    <col min="5" max="6" width="14" customWidth="1"/>
    <col min="7" max="10" width="12" customWidth="1"/>
    <col min="11" max="12" width="10" customWidth="1"/>
  </cols>
  <sheetData>
    <row r="1" spans="1:14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48" customHeight="1" x14ac:dyDescent="0.35">
      <c r="A2" s="1"/>
      <c r="B2" s="114" t="s">
        <v>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"/>
      <c r="N2" s="1"/>
    </row>
    <row r="3" spans="1:14" ht="20" customHeight="1" x14ac:dyDescent="0.35">
      <c r="A3" s="1"/>
      <c r="B3" s="111" t="s">
        <v>1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"/>
      <c r="N3" s="1"/>
    </row>
    <row r="4" spans="1:14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8" customHeight="1" x14ac:dyDescent="0.35">
      <c r="A5" s="1"/>
      <c r="B5" s="117" t="s">
        <v>2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"/>
      <c r="N5" s="1"/>
    </row>
    <row r="6" spans="1:14" ht="16" customHeight="1" x14ac:dyDescent="0.35">
      <c r="A6" s="1"/>
      <c r="B6" s="110" t="s">
        <v>3</v>
      </c>
      <c r="C6" s="102"/>
      <c r="D6" s="102"/>
      <c r="E6" s="103"/>
      <c r="F6" s="108" t="s">
        <v>4</v>
      </c>
      <c r="G6" s="109"/>
      <c r="H6" s="109"/>
      <c r="I6" s="109"/>
      <c r="J6" s="109"/>
      <c r="K6" s="109"/>
      <c r="L6" s="109"/>
      <c r="M6" s="1"/>
      <c r="N6" s="1"/>
    </row>
    <row r="7" spans="1:14" ht="16" customHeight="1" x14ac:dyDescent="0.35">
      <c r="A7" s="1"/>
      <c r="B7" s="115" t="s">
        <v>5</v>
      </c>
      <c r="C7" s="102"/>
      <c r="D7" s="102"/>
      <c r="E7" s="103"/>
      <c r="F7" s="108" t="s">
        <v>6</v>
      </c>
      <c r="G7" s="109"/>
      <c r="H7" s="109"/>
      <c r="I7" s="109"/>
      <c r="J7" s="109"/>
      <c r="K7" s="109"/>
      <c r="L7" s="109"/>
      <c r="M7" s="1"/>
      <c r="N7" s="1"/>
    </row>
    <row r="8" spans="1:14" ht="16" customHeight="1" x14ac:dyDescent="0.35">
      <c r="A8" s="1"/>
      <c r="B8" s="116" t="s">
        <v>7</v>
      </c>
      <c r="C8" s="102"/>
      <c r="D8" s="102"/>
      <c r="E8" s="103"/>
      <c r="F8" s="108" t="s">
        <v>8</v>
      </c>
      <c r="G8" s="109"/>
      <c r="H8" s="109"/>
      <c r="I8" s="109"/>
      <c r="J8" s="109"/>
      <c r="K8" s="109"/>
      <c r="L8" s="109"/>
      <c r="M8" s="1"/>
      <c r="N8" s="1"/>
    </row>
    <row r="9" spans="1:14" ht="16" customHeight="1" x14ac:dyDescent="0.35">
      <c r="A9" s="1"/>
      <c r="B9" s="104" t="s">
        <v>9</v>
      </c>
      <c r="C9" s="102"/>
      <c r="D9" s="102"/>
      <c r="E9" s="103"/>
      <c r="F9" s="108" t="s">
        <v>10</v>
      </c>
      <c r="G9" s="109"/>
      <c r="H9" s="109"/>
      <c r="I9" s="109"/>
      <c r="J9" s="109"/>
      <c r="K9" s="109"/>
      <c r="L9" s="109"/>
      <c r="M9" s="1"/>
      <c r="N9" s="1"/>
    </row>
    <row r="10" spans="1:14" ht="16" customHeight="1" x14ac:dyDescent="0.35">
      <c r="A10" s="1"/>
      <c r="B10" s="118" t="s">
        <v>11</v>
      </c>
      <c r="C10" s="102"/>
      <c r="D10" s="102"/>
      <c r="E10" s="103"/>
      <c r="F10" s="108" t="s">
        <v>12</v>
      </c>
      <c r="G10" s="109"/>
      <c r="H10" s="109"/>
      <c r="I10" s="109"/>
      <c r="J10" s="109"/>
      <c r="K10" s="109"/>
      <c r="L10" s="109"/>
      <c r="M10" s="1"/>
      <c r="N10" s="1"/>
    </row>
    <row r="11" spans="1:14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8" customHeight="1" x14ac:dyDescent="0.35">
      <c r="A12" s="1"/>
      <c r="B12" s="112" t="s">
        <v>13</v>
      </c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"/>
      <c r="N12" s="1"/>
    </row>
    <row r="13" spans="1:14" ht="16" customHeight="1" x14ac:dyDescent="0.35">
      <c r="A13" s="1"/>
      <c r="B13" s="105" t="s">
        <v>14</v>
      </c>
      <c r="C13" s="106"/>
      <c r="D13" s="107"/>
      <c r="E13" s="101" t="s">
        <v>15</v>
      </c>
      <c r="F13" s="102"/>
      <c r="G13" s="102"/>
      <c r="H13" s="102"/>
      <c r="I13" s="102"/>
      <c r="J13" s="102"/>
      <c r="K13" s="102"/>
      <c r="L13" s="103"/>
      <c r="M13" s="1"/>
      <c r="N13" s="1"/>
    </row>
    <row r="14" spans="1:14" ht="16" customHeight="1" x14ac:dyDescent="0.35">
      <c r="A14" s="1"/>
      <c r="B14" s="105" t="s">
        <v>16</v>
      </c>
      <c r="C14" s="106"/>
      <c r="D14" s="107"/>
      <c r="E14" s="101" t="s">
        <v>17</v>
      </c>
      <c r="F14" s="102"/>
      <c r="G14" s="102"/>
      <c r="H14" s="102"/>
      <c r="I14" s="102"/>
      <c r="J14" s="102"/>
      <c r="K14" s="102"/>
      <c r="L14" s="103"/>
      <c r="M14" s="1"/>
      <c r="N14" s="1"/>
    </row>
    <row r="15" spans="1:14" ht="16" customHeight="1" x14ac:dyDescent="0.35">
      <c r="A15" s="1"/>
      <c r="B15" s="105" t="s">
        <v>18</v>
      </c>
      <c r="C15" s="106"/>
      <c r="D15" s="107"/>
      <c r="E15" s="101" t="s">
        <v>19</v>
      </c>
      <c r="F15" s="102"/>
      <c r="G15" s="102"/>
      <c r="H15" s="102"/>
      <c r="I15" s="102"/>
      <c r="J15" s="102"/>
      <c r="K15" s="102"/>
      <c r="L15" s="103"/>
      <c r="M15" s="1"/>
      <c r="N15" s="1"/>
    </row>
    <row r="16" spans="1:14" ht="16" customHeight="1" x14ac:dyDescent="0.35">
      <c r="A16" s="1"/>
      <c r="B16" s="105" t="s">
        <v>20</v>
      </c>
      <c r="C16" s="106"/>
      <c r="D16" s="107"/>
      <c r="E16" s="101" t="s">
        <v>21</v>
      </c>
      <c r="F16" s="102"/>
      <c r="G16" s="102"/>
      <c r="H16" s="102"/>
      <c r="I16" s="102"/>
      <c r="J16" s="102"/>
      <c r="K16" s="102"/>
      <c r="L16" s="103"/>
      <c r="M16" s="1"/>
      <c r="N16" s="1"/>
    </row>
    <row r="17" spans="1:14" ht="16" customHeight="1" x14ac:dyDescent="0.35">
      <c r="A17" s="1"/>
      <c r="B17" s="105" t="s">
        <v>22</v>
      </c>
      <c r="C17" s="106"/>
      <c r="D17" s="107"/>
      <c r="E17" s="101" t="s">
        <v>23</v>
      </c>
      <c r="F17" s="102"/>
      <c r="G17" s="102"/>
      <c r="H17" s="102"/>
      <c r="I17" s="102"/>
      <c r="J17" s="102"/>
      <c r="K17" s="102"/>
      <c r="L17" s="103"/>
      <c r="M17" s="1"/>
      <c r="N17" s="1"/>
    </row>
    <row r="18" spans="1:14" ht="16" customHeight="1" x14ac:dyDescent="0.35">
      <c r="A18" s="1"/>
      <c r="B18" s="105" t="s">
        <v>24</v>
      </c>
      <c r="C18" s="106"/>
      <c r="D18" s="107"/>
      <c r="E18" s="101" t="s">
        <v>25</v>
      </c>
      <c r="F18" s="102"/>
      <c r="G18" s="102"/>
      <c r="H18" s="102"/>
      <c r="I18" s="102"/>
      <c r="J18" s="102"/>
      <c r="K18" s="102"/>
      <c r="L18" s="103"/>
      <c r="M18" s="1"/>
      <c r="N18" s="1"/>
    </row>
    <row r="19" spans="1:14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4" customHeight="1" x14ac:dyDescent="0.35">
      <c r="A21" s="1"/>
      <c r="B21" s="113" t="s">
        <v>26</v>
      </c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"/>
      <c r="N21" s="1"/>
    </row>
    <row r="22" spans="1:14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</sheetData>
  <mergeCells count="27">
    <mergeCell ref="B21:L21"/>
    <mergeCell ref="B2:L2"/>
    <mergeCell ref="B7:E7"/>
    <mergeCell ref="E13:L13"/>
    <mergeCell ref="B15:D15"/>
    <mergeCell ref="F10:L10"/>
    <mergeCell ref="F6:L6"/>
    <mergeCell ref="E15:L15"/>
    <mergeCell ref="F7:L7"/>
    <mergeCell ref="B16:D16"/>
    <mergeCell ref="B8:E8"/>
    <mergeCell ref="F8:L8"/>
    <mergeCell ref="E16:L16"/>
    <mergeCell ref="B5:L5"/>
    <mergeCell ref="B18:D18"/>
    <mergeCell ref="B10:E10"/>
    <mergeCell ref="B3:L3"/>
    <mergeCell ref="B17:D17"/>
    <mergeCell ref="B13:D13"/>
    <mergeCell ref="E14:L14"/>
    <mergeCell ref="E17:L17"/>
    <mergeCell ref="B12:L12"/>
    <mergeCell ref="E18:L18"/>
    <mergeCell ref="B9:E9"/>
    <mergeCell ref="B14:D14"/>
    <mergeCell ref="F9:L9"/>
    <mergeCell ref="B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D6A4F"/>
  </sheetPr>
  <dimension ref="A1:L60"/>
  <sheetViews>
    <sheetView showGridLines="0" topLeftCell="A11" workbookViewId="0">
      <selection activeCell="I20" sqref="I20"/>
    </sheetView>
  </sheetViews>
  <sheetFormatPr defaultRowHeight="14.5" x14ac:dyDescent="0.35"/>
  <cols>
    <col min="1" max="1" width="26" customWidth="1"/>
    <col min="2" max="2" width="11.08984375" customWidth="1"/>
    <col min="3" max="3" width="14" customWidth="1"/>
    <col min="4" max="4" width="16" customWidth="1"/>
    <col min="5" max="5" width="8" customWidth="1"/>
    <col min="6" max="6" width="14" customWidth="1"/>
    <col min="7" max="7" width="12" customWidth="1"/>
    <col min="8" max="9" width="16" customWidth="1"/>
    <col min="10" max="10" width="2" customWidth="1"/>
  </cols>
  <sheetData>
    <row r="1" spans="1:12" ht="24" customHeight="1" x14ac:dyDescent="0.35">
      <c r="A1" s="122" t="s">
        <v>27</v>
      </c>
      <c r="B1" s="109"/>
      <c r="C1" s="109"/>
      <c r="D1" s="109"/>
      <c r="E1" s="109"/>
      <c r="F1" s="109"/>
      <c r="G1" s="109"/>
      <c r="H1" s="109"/>
      <c r="I1" s="109"/>
      <c r="J1" s="109"/>
      <c r="K1" s="1"/>
      <c r="L1" s="1"/>
    </row>
    <row r="2" spans="1:12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6" customHeight="1" x14ac:dyDescent="0.35">
      <c r="A3" s="120" t="s">
        <v>28</v>
      </c>
      <c r="B3" s="109"/>
      <c r="C3" s="109"/>
      <c r="D3" s="109"/>
      <c r="E3" s="109"/>
      <c r="F3" s="109"/>
      <c r="G3" s="109"/>
      <c r="H3" s="109"/>
      <c r="I3" s="109"/>
      <c r="J3" s="109"/>
      <c r="K3" s="1"/>
      <c r="L3" s="1"/>
    </row>
    <row r="4" spans="1:12" ht="16" customHeight="1" x14ac:dyDescent="0.35">
      <c r="A4" s="2" t="s">
        <v>29</v>
      </c>
      <c r="B4" s="3" t="s">
        <v>30</v>
      </c>
      <c r="C4" s="4">
        <v>22000</v>
      </c>
      <c r="D4" s="119" t="s">
        <v>31</v>
      </c>
      <c r="E4" s="102"/>
      <c r="F4" s="102"/>
      <c r="G4" s="102"/>
      <c r="H4" s="102"/>
      <c r="I4" s="102"/>
      <c r="J4" s="103"/>
      <c r="K4" s="1"/>
      <c r="L4" s="1"/>
    </row>
    <row r="5" spans="1:12" ht="16" customHeight="1" x14ac:dyDescent="0.35">
      <c r="A5" s="2" t="s">
        <v>32</v>
      </c>
      <c r="B5" s="3" t="s">
        <v>33</v>
      </c>
      <c r="C5" s="5">
        <v>14.5</v>
      </c>
      <c r="D5" s="119" t="s">
        <v>34</v>
      </c>
      <c r="E5" s="102"/>
      <c r="F5" s="102"/>
      <c r="G5" s="102"/>
      <c r="H5" s="102"/>
      <c r="I5" s="102"/>
      <c r="J5" s="103"/>
      <c r="K5" s="1"/>
      <c r="L5" s="1"/>
    </row>
    <row r="6" spans="1:12" ht="16" customHeight="1" x14ac:dyDescent="0.35">
      <c r="A6" s="2" t="s">
        <v>35</v>
      </c>
      <c r="B6" s="3" t="s">
        <v>36</v>
      </c>
      <c r="C6" s="6">
        <v>6.5000000000000002E-2</v>
      </c>
      <c r="D6" s="119" t="s">
        <v>37</v>
      </c>
      <c r="E6" s="102"/>
      <c r="F6" s="102"/>
      <c r="G6" s="102"/>
      <c r="H6" s="102"/>
      <c r="I6" s="102"/>
      <c r="J6" s="103"/>
      <c r="K6" s="1"/>
      <c r="L6" s="1"/>
    </row>
    <row r="7" spans="1:12" ht="16" customHeight="1" x14ac:dyDescent="0.35">
      <c r="A7" s="2" t="s">
        <v>38</v>
      </c>
      <c r="B7" s="3" t="s">
        <v>39</v>
      </c>
      <c r="C7" s="7">
        <v>7</v>
      </c>
      <c r="D7" s="119" t="s">
        <v>40</v>
      </c>
      <c r="E7" s="102"/>
      <c r="F7" s="102"/>
      <c r="G7" s="102"/>
      <c r="H7" s="102"/>
      <c r="I7" s="102"/>
      <c r="J7" s="103"/>
      <c r="K7" s="1"/>
      <c r="L7" s="1"/>
    </row>
    <row r="8" spans="1:12" ht="16" customHeight="1" x14ac:dyDescent="0.35">
      <c r="A8" s="2" t="s">
        <v>41</v>
      </c>
      <c r="B8" s="3" t="s">
        <v>42</v>
      </c>
      <c r="C8" s="7">
        <v>50</v>
      </c>
      <c r="D8" s="119" t="s">
        <v>43</v>
      </c>
      <c r="E8" s="102"/>
      <c r="F8" s="102"/>
      <c r="G8" s="102"/>
      <c r="H8" s="102"/>
      <c r="I8" s="102"/>
      <c r="J8" s="103"/>
      <c r="K8" s="1"/>
      <c r="L8" s="1"/>
    </row>
    <row r="9" spans="1:12" ht="6" customHeigh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6" customHeight="1" x14ac:dyDescent="0.35">
      <c r="A10" s="120" t="s">
        <v>44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"/>
      <c r="L10" s="1"/>
    </row>
    <row r="11" spans="1:12" ht="16" customHeight="1" x14ac:dyDescent="0.35">
      <c r="A11" s="2" t="s">
        <v>45</v>
      </c>
      <c r="B11" s="3" t="s">
        <v>33</v>
      </c>
      <c r="C11" s="8">
        <v>3.5000000000000003E-2</v>
      </c>
      <c r="D11" s="119" t="s">
        <v>46</v>
      </c>
      <c r="E11" s="102"/>
      <c r="F11" s="102"/>
      <c r="G11" s="102"/>
      <c r="H11" s="102"/>
      <c r="I11" s="102"/>
      <c r="J11" s="103"/>
      <c r="K11" s="1"/>
      <c r="L11" s="1"/>
    </row>
    <row r="12" spans="1:12" ht="16" customHeight="1" x14ac:dyDescent="0.35">
      <c r="A12" s="2" t="s">
        <v>47</v>
      </c>
      <c r="B12" s="3" t="s">
        <v>48</v>
      </c>
      <c r="C12" s="8">
        <v>0.04</v>
      </c>
      <c r="D12" s="119" t="s">
        <v>49</v>
      </c>
      <c r="E12" s="102"/>
      <c r="F12" s="102"/>
      <c r="G12" s="102"/>
      <c r="H12" s="102"/>
      <c r="I12" s="102"/>
      <c r="J12" s="103"/>
      <c r="K12" s="1"/>
      <c r="L12" s="1"/>
    </row>
    <row r="13" spans="1:12" ht="16" customHeight="1" x14ac:dyDescent="0.35">
      <c r="A13" s="2" t="s">
        <v>50</v>
      </c>
      <c r="B13" s="3" t="s">
        <v>51</v>
      </c>
      <c r="C13" s="9">
        <v>2</v>
      </c>
      <c r="D13" s="119" t="s">
        <v>52</v>
      </c>
      <c r="E13" s="102"/>
      <c r="F13" s="102"/>
      <c r="G13" s="102"/>
      <c r="H13" s="102"/>
      <c r="I13" s="102"/>
      <c r="J13" s="103"/>
      <c r="K13" s="1"/>
      <c r="L13" s="1"/>
    </row>
    <row r="14" spans="1:12" ht="16" customHeight="1" x14ac:dyDescent="0.35">
      <c r="A14" s="2" t="s">
        <v>53</v>
      </c>
      <c r="B14" s="3" t="s">
        <v>33</v>
      </c>
      <c r="C14" s="10">
        <v>0.35</v>
      </c>
      <c r="D14" s="119" t="s">
        <v>54</v>
      </c>
      <c r="E14" s="102"/>
      <c r="F14" s="102"/>
      <c r="G14" s="102"/>
      <c r="H14" s="102"/>
      <c r="I14" s="102"/>
      <c r="J14" s="103"/>
      <c r="K14" s="1"/>
      <c r="L14" s="1"/>
    </row>
    <row r="15" spans="1:12" ht="16" customHeight="1" x14ac:dyDescent="0.35">
      <c r="A15" s="2" t="s">
        <v>55</v>
      </c>
      <c r="B15" s="3" t="s">
        <v>33</v>
      </c>
      <c r="C15" s="8">
        <v>0.03</v>
      </c>
      <c r="D15" s="119" t="s">
        <v>56</v>
      </c>
      <c r="E15" s="102"/>
      <c r="F15" s="102"/>
      <c r="G15" s="102"/>
      <c r="H15" s="102"/>
      <c r="I15" s="102"/>
      <c r="J15" s="103"/>
      <c r="K15" s="1"/>
      <c r="L15" s="1"/>
    </row>
    <row r="16" spans="1:12" ht="16" customHeight="1" x14ac:dyDescent="0.35">
      <c r="A16" s="2" t="s">
        <v>57</v>
      </c>
      <c r="B16" s="3" t="s">
        <v>33</v>
      </c>
      <c r="C16" s="8">
        <v>0.05</v>
      </c>
      <c r="D16" s="119" t="s">
        <v>58</v>
      </c>
      <c r="E16" s="102"/>
      <c r="F16" s="102"/>
      <c r="G16" s="102"/>
      <c r="H16" s="102"/>
      <c r="I16" s="102"/>
      <c r="J16" s="103"/>
      <c r="K16" s="1"/>
      <c r="L16" s="1"/>
    </row>
    <row r="17" spans="1:12" ht="6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6" customHeight="1" x14ac:dyDescent="0.35">
      <c r="A18" s="120" t="s">
        <v>59</v>
      </c>
      <c r="B18" s="109"/>
      <c r="C18" s="109"/>
      <c r="D18" s="109"/>
      <c r="E18" s="109"/>
      <c r="F18" s="109"/>
      <c r="G18" s="109"/>
      <c r="H18" s="109"/>
      <c r="I18" s="109"/>
      <c r="J18" s="109"/>
      <c r="K18" s="1"/>
      <c r="L18" s="1"/>
    </row>
    <row r="19" spans="1:12" ht="18" customHeight="1" x14ac:dyDescent="0.35">
      <c r="A19" s="11" t="s">
        <v>60</v>
      </c>
      <c r="B19" s="11" t="s">
        <v>61</v>
      </c>
      <c r="C19" s="11" t="s">
        <v>62</v>
      </c>
      <c r="D19" s="11" t="s">
        <v>63</v>
      </c>
      <c r="E19" s="11" t="s">
        <v>64</v>
      </c>
      <c r="F19" s="11" t="s">
        <v>65</v>
      </c>
      <c r="G19" s="11" t="s">
        <v>66</v>
      </c>
      <c r="H19" s="11" t="s">
        <v>67</v>
      </c>
      <c r="I19" s="11" t="s">
        <v>68</v>
      </c>
      <c r="J19" s="1"/>
      <c r="K19" s="1"/>
      <c r="L19" s="1"/>
    </row>
    <row r="20" spans="1:12" ht="16" customHeight="1" x14ac:dyDescent="0.35">
      <c r="A20" s="12">
        <v>1</v>
      </c>
      <c r="B20" s="13" t="s">
        <v>69</v>
      </c>
      <c r="C20" s="14" t="s">
        <v>70</v>
      </c>
      <c r="D20" s="15" t="s">
        <v>71</v>
      </c>
      <c r="E20" s="16">
        <v>-1</v>
      </c>
      <c r="F20" s="17" t="s">
        <v>72</v>
      </c>
      <c r="G20" s="18">
        <f>C7</f>
        <v>7</v>
      </c>
      <c r="H20" s="19">
        <f>C4</f>
        <v>22000</v>
      </c>
      <c r="I20" s="20">
        <f>ABS(E20)*C8*C4</f>
        <v>1100000</v>
      </c>
      <c r="J20" s="1"/>
      <c r="K20" s="1"/>
      <c r="L20" s="1"/>
    </row>
    <row r="21" spans="1:12" ht="16" customHeight="1" x14ac:dyDescent="0.35">
      <c r="A21" s="12">
        <v>2</v>
      </c>
      <c r="B21" s="13" t="s">
        <v>188</v>
      </c>
      <c r="C21" s="14" t="s">
        <v>187</v>
      </c>
      <c r="D21" s="21" t="s">
        <v>73</v>
      </c>
      <c r="E21" s="16">
        <v>1</v>
      </c>
      <c r="F21" s="22">
        <f>C4</f>
        <v>22000</v>
      </c>
      <c r="G21" s="18">
        <f>C7</f>
        <v>7</v>
      </c>
      <c r="H21" s="19">
        <f>C4*C5/100*SQRT(C7/365/(2*PI()))*(1+C6*C7/365/2)</f>
        <v>176.34938227114165</v>
      </c>
      <c r="I21" s="20">
        <f>ABS(E21)*C8*C4</f>
        <v>1100000</v>
      </c>
      <c r="J21" s="1"/>
      <c r="K21" s="1"/>
      <c r="L21" s="1"/>
    </row>
    <row r="22" spans="1:12" ht="6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6" customHeight="1" x14ac:dyDescent="0.35">
      <c r="A23" s="120" t="s">
        <v>74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"/>
      <c r="L23" s="1"/>
    </row>
    <row r="24" spans="1:12" ht="16" customHeight="1" x14ac:dyDescent="0.35">
      <c r="A24" s="121" t="s">
        <v>75</v>
      </c>
      <c r="B24" s="103"/>
      <c r="C24" s="23">
        <f>C4*C5/100*SQRT(C7/365/(2*PI()))*(1+C6*C7/365/2)</f>
        <v>176.34938227114165</v>
      </c>
      <c r="D24" s="1"/>
      <c r="E24" s="1"/>
      <c r="F24" s="1"/>
      <c r="G24" s="1"/>
      <c r="H24" s="1"/>
      <c r="I24" s="1"/>
      <c r="J24" s="1"/>
      <c r="K24" s="1"/>
      <c r="L24" s="1"/>
    </row>
    <row r="25" spans="1:12" ht="16" customHeight="1" x14ac:dyDescent="0.35">
      <c r="A25" s="121" t="s">
        <v>76</v>
      </c>
      <c r="B25" s="103"/>
      <c r="C25" s="23">
        <f>C24</f>
        <v>176.34938227114165</v>
      </c>
      <c r="D25" s="1"/>
      <c r="E25" s="1"/>
      <c r="F25" s="1"/>
      <c r="G25" s="1"/>
      <c r="H25" s="1"/>
      <c r="I25" s="1"/>
      <c r="J25" s="1"/>
      <c r="K25" s="1"/>
      <c r="L25" s="1"/>
    </row>
    <row r="26" spans="1:12" ht="16" customHeight="1" x14ac:dyDescent="0.35">
      <c r="A26" s="121" t="s">
        <v>77</v>
      </c>
      <c r="B26" s="103"/>
      <c r="C26" s="20">
        <f>C8*C4</f>
        <v>1100000</v>
      </c>
      <c r="D26" s="1"/>
      <c r="E26" s="1"/>
      <c r="F26" s="1"/>
      <c r="G26" s="1"/>
      <c r="H26" s="1"/>
      <c r="I26" s="1"/>
      <c r="J26" s="1"/>
      <c r="K26" s="1"/>
      <c r="L26" s="1"/>
    </row>
    <row r="27" spans="1:12" ht="16" customHeight="1" x14ac:dyDescent="0.35">
      <c r="A27" s="121" t="s">
        <v>78</v>
      </c>
      <c r="B27" s="103"/>
      <c r="C27" s="24">
        <f>C5/100</f>
        <v>0.14499999999999999</v>
      </c>
      <c r="D27" s="1"/>
      <c r="E27" s="1"/>
      <c r="F27" s="1"/>
      <c r="G27" s="1"/>
      <c r="H27" s="1"/>
      <c r="I27" s="1"/>
      <c r="J27" s="1"/>
      <c r="K27" s="1"/>
      <c r="L27" s="1"/>
    </row>
    <row r="28" spans="1:12" ht="16" customHeight="1" x14ac:dyDescent="0.35">
      <c r="A28" s="121" t="s">
        <v>79</v>
      </c>
      <c r="B28" s="103"/>
      <c r="C28" s="25">
        <f>C5/100/SQRT(252)</f>
        <v>9.1341414310563245E-3</v>
      </c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mergeCells count="21">
    <mergeCell ref="A28:B28"/>
    <mergeCell ref="D16:J16"/>
    <mergeCell ref="A25:B25"/>
    <mergeCell ref="A27:B27"/>
    <mergeCell ref="A1:J1"/>
    <mergeCell ref="A26:B26"/>
    <mergeCell ref="D6:J6"/>
    <mergeCell ref="D11:J11"/>
    <mergeCell ref="D13:J13"/>
    <mergeCell ref="A18:J18"/>
    <mergeCell ref="A3:J3"/>
    <mergeCell ref="D7:J7"/>
    <mergeCell ref="D4:J4"/>
    <mergeCell ref="A23:J23"/>
    <mergeCell ref="A24:B24"/>
    <mergeCell ref="D12:J12"/>
    <mergeCell ref="D8:J8"/>
    <mergeCell ref="D15:J15"/>
    <mergeCell ref="A10:J10"/>
    <mergeCell ref="D5:J5"/>
    <mergeCell ref="D14:J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A3728"/>
  </sheetPr>
  <dimension ref="A1:P55"/>
  <sheetViews>
    <sheetView showGridLines="0" workbookViewId="0">
      <pane ySplit="4" topLeftCell="A5" activePane="bottomLeft" state="frozen"/>
      <selection pane="bottomLeft" activeCell="I5" sqref="I5"/>
    </sheetView>
  </sheetViews>
  <sheetFormatPr defaultRowHeight="14.5" x14ac:dyDescent="0.35"/>
  <cols>
    <col min="1" max="1" width="7" customWidth="1"/>
    <col min="2" max="3" width="10" customWidth="1"/>
    <col min="4" max="5" width="13" customWidth="1"/>
    <col min="6" max="7" width="11" customWidth="1"/>
    <col min="8" max="10" width="14" customWidth="1"/>
    <col min="11" max="11" width="8" customWidth="1"/>
    <col min="12" max="12" width="14" customWidth="1"/>
    <col min="13" max="13" width="10" customWidth="1"/>
    <col min="14" max="14" width="12" customWidth="1"/>
  </cols>
  <sheetData>
    <row r="1" spans="1:16" ht="24" customHeight="1" x14ac:dyDescent="0.35">
      <c r="A1" s="122" t="s">
        <v>80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"/>
      <c r="P1" s="1"/>
    </row>
    <row r="2" spans="1:16" ht="14" customHeight="1" x14ac:dyDescent="0.35">
      <c r="A2" s="125" t="s">
        <v>81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"/>
      <c r="P2" s="1"/>
    </row>
    <row r="3" spans="1:16" ht="6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28" customHeight="1" x14ac:dyDescent="0.35">
      <c r="A4" s="11" t="s">
        <v>82</v>
      </c>
      <c r="B4" s="11" t="s">
        <v>83</v>
      </c>
      <c r="C4" s="11" t="s">
        <v>84</v>
      </c>
      <c r="D4" s="11" t="s">
        <v>85</v>
      </c>
      <c r="E4" s="11" t="s">
        <v>86</v>
      </c>
      <c r="F4" s="11" t="s">
        <v>87</v>
      </c>
      <c r="G4" s="11" t="s">
        <v>88</v>
      </c>
      <c r="H4" s="11" t="s">
        <v>89</v>
      </c>
      <c r="I4" s="11" t="s">
        <v>90</v>
      </c>
      <c r="J4" s="11" t="s">
        <v>91</v>
      </c>
      <c r="K4" s="11" t="s">
        <v>92</v>
      </c>
      <c r="L4" s="11" t="s">
        <v>93</v>
      </c>
      <c r="M4" s="11" t="s">
        <v>94</v>
      </c>
      <c r="N4" s="11" t="s">
        <v>95</v>
      </c>
      <c r="O4" s="1"/>
      <c r="P4" s="1"/>
    </row>
    <row r="5" spans="1:16" ht="15" customHeight="1" x14ac:dyDescent="0.35">
      <c r="A5" s="26">
        <v>1</v>
      </c>
      <c r="B5" s="27">
        <v>0</v>
      </c>
      <c r="C5" s="28">
        <v>1</v>
      </c>
      <c r="D5" s="29">
        <f>B5*Inputs!C11</f>
        <v>0</v>
      </c>
      <c r="E5" s="20">
        <f>Inputs!C4*(1+D5)</f>
        <v>22000</v>
      </c>
      <c r="F5" s="30">
        <f>C5*Inputs!C12*100</f>
        <v>4</v>
      </c>
      <c r="G5" s="24">
        <f>MAX((Inputs!C5+F5)/100,0.01)</f>
        <v>0.185</v>
      </c>
      <c r="H5" s="31">
        <f>(-1)*Inputs!C8*(E5-Inputs!C4)</f>
        <v>0</v>
      </c>
      <c r="I5" s="31">
        <f>(0.5*(Inputs!C4-E5)+0.4*Inputs!C4*SQRT(Inputs!C7/365)*F5/100)*Inputs!C8</f>
        <v>2437.3351718067065</v>
      </c>
      <c r="J5" s="32">
        <f t="shared" ref="J5:J20" si="0">H5+I5</f>
        <v>2437.3351718067065</v>
      </c>
      <c r="K5" s="33">
        <v>1</v>
      </c>
      <c r="L5" s="32">
        <f t="shared" ref="L5:L20" si="1">J5*K5</f>
        <v>2437.3351718067065</v>
      </c>
      <c r="M5" s="17" t="s">
        <v>72</v>
      </c>
      <c r="N5" s="34" t="str">
        <f>IF(L5=MIN(L5:L20),"▼ WORST","—")</f>
        <v>—</v>
      </c>
      <c r="O5" s="1"/>
      <c r="P5" s="1"/>
    </row>
    <row r="6" spans="1:16" ht="15" customHeight="1" x14ac:dyDescent="0.35">
      <c r="A6" s="26">
        <v>2</v>
      </c>
      <c r="B6" s="27">
        <v>0</v>
      </c>
      <c r="C6" s="28">
        <v>-1</v>
      </c>
      <c r="D6" s="29">
        <f>B6*Inputs!C11</f>
        <v>0</v>
      </c>
      <c r="E6" s="20">
        <f>Inputs!C4*(1+D6)</f>
        <v>22000</v>
      </c>
      <c r="F6" s="30">
        <f>C6*Inputs!C12*100</f>
        <v>-4</v>
      </c>
      <c r="G6" s="24">
        <f>MAX((Inputs!C5+F6)/100,0.01)</f>
        <v>0.105</v>
      </c>
      <c r="H6" s="31">
        <f>(-1)*Inputs!C8*(E6-Inputs!C4)</f>
        <v>0</v>
      </c>
      <c r="I6" s="31">
        <f>(0.5*(Inputs!C4-E6)+0.4*Inputs!C4*SQRT(Inputs!C7/365)*F6/100)*Inputs!C8</f>
        <v>-2437.3351718067065</v>
      </c>
      <c r="J6" s="32">
        <f t="shared" si="0"/>
        <v>-2437.3351718067065</v>
      </c>
      <c r="K6" s="33">
        <v>1</v>
      </c>
      <c r="L6" s="32">
        <f t="shared" si="1"/>
        <v>-2437.3351718067065</v>
      </c>
      <c r="M6" s="17" t="s">
        <v>72</v>
      </c>
      <c r="N6" s="34" t="str">
        <f>IF(L6=MIN(L5:L20),"▼ WORST","—")</f>
        <v>—</v>
      </c>
      <c r="O6" s="1"/>
      <c r="P6" s="1"/>
    </row>
    <row r="7" spans="1:16" ht="15" customHeight="1" x14ac:dyDescent="0.35">
      <c r="A7" s="26">
        <v>3</v>
      </c>
      <c r="B7" s="27">
        <v>0.33329999999999999</v>
      </c>
      <c r="C7" s="28">
        <v>1</v>
      </c>
      <c r="D7" s="29">
        <f>B7*Inputs!C11</f>
        <v>1.1665500000000001E-2</v>
      </c>
      <c r="E7" s="20">
        <f>Inputs!C4*(1+D7)</f>
        <v>22256.641000000003</v>
      </c>
      <c r="F7" s="30">
        <f>C7*Inputs!C12*100</f>
        <v>4</v>
      </c>
      <c r="G7" s="24">
        <f>MAX((Inputs!C5+F7)/100,0.01)</f>
        <v>0.185</v>
      </c>
      <c r="H7" s="31">
        <f>(-1)*Inputs!C8*(E7-Inputs!C4)</f>
        <v>-12832.050000000163</v>
      </c>
      <c r="I7" s="31">
        <f>(0.5*(Inputs!C4-E7)+0.4*Inputs!C4*SQRT(Inputs!C7/365)*F7/100)*Inputs!C8</f>
        <v>-3978.6898281933745</v>
      </c>
      <c r="J7" s="32">
        <f t="shared" si="0"/>
        <v>-16810.739828193538</v>
      </c>
      <c r="K7" s="33">
        <v>1</v>
      </c>
      <c r="L7" s="32">
        <f t="shared" si="1"/>
        <v>-16810.739828193538</v>
      </c>
      <c r="M7" s="17" t="s">
        <v>72</v>
      </c>
      <c r="N7" s="34" t="str">
        <f>IF(L7=MIN(L5:L20),"▼ WORST","—")</f>
        <v>—</v>
      </c>
      <c r="O7" s="1"/>
      <c r="P7" s="1"/>
    </row>
    <row r="8" spans="1:16" ht="15" customHeight="1" x14ac:dyDescent="0.35">
      <c r="A8" s="26">
        <v>4</v>
      </c>
      <c r="B8" s="27">
        <v>0.33329999999999999</v>
      </c>
      <c r="C8" s="28">
        <v>-1</v>
      </c>
      <c r="D8" s="29">
        <f>B8*Inputs!C11</f>
        <v>1.1665500000000001E-2</v>
      </c>
      <c r="E8" s="20">
        <f>Inputs!C4*(1+D8)</f>
        <v>22256.641000000003</v>
      </c>
      <c r="F8" s="30">
        <f>C8*Inputs!C12*100</f>
        <v>-4</v>
      </c>
      <c r="G8" s="24">
        <f>MAX((Inputs!C5+F8)/100,0.01)</f>
        <v>0.105</v>
      </c>
      <c r="H8" s="31">
        <f>(-1)*Inputs!C8*(E8-Inputs!C4)</f>
        <v>-12832.050000000163</v>
      </c>
      <c r="I8" s="31">
        <f>(0.5*(Inputs!C4-E8)+0.4*Inputs!C4*SQRT(Inputs!C7/365)*F8/100)*Inputs!C8</f>
        <v>-8853.3601718067894</v>
      </c>
      <c r="J8" s="32">
        <f t="shared" si="0"/>
        <v>-21685.410171806951</v>
      </c>
      <c r="K8" s="33">
        <v>1</v>
      </c>
      <c r="L8" s="32">
        <f t="shared" si="1"/>
        <v>-21685.410171806951</v>
      </c>
      <c r="M8" s="17" t="s">
        <v>72</v>
      </c>
      <c r="N8" s="34" t="str">
        <f>IF(L8=MIN(L5:L20),"▼ WORST","—")</f>
        <v>—</v>
      </c>
      <c r="O8" s="1"/>
      <c r="P8" s="1"/>
    </row>
    <row r="9" spans="1:16" ht="15" customHeight="1" x14ac:dyDescent="0.35">
      <c r="A9" s="26">
        <v>5</v>
      </c>
      <c r="B9" s="27">
        <v>-0.33329999999999999</v>
      </c>
      <c r="C9" s="28">
        <v>1</v>
      </c>
      <c r="D9" s="29">
        <f>B9*Inputs!C11</f>
        <v>-1.1665500000000001E-2</v>
      </c>
      <c r="E9" s="20">
        <f>Inputs!C4*(1+D9)</f>
        <v>21743.359</v>
      </c>
      <c r="F9" s="30">
        <f>C9*Inputs!C12*100</f>
        <v>4</v>
      </c>
      <c r="G9" s="24">
        <f>MAX((Inputs!C5+F9)/100,0.01)</f>
        <v>0.185</v>
      </c>
      <c r="H9" s="31">
        <f>(-1)*Inputs!C8*(E9-Inputs!C4)</f>
        <v>12832.049999999981</v>
      </c>
      <c r="I9" s="31">
        <f>(0.5*(Inputs!C4-E9)+0.4*Inputs!C4*SQRT(Inputs!C7/365)*F9/100)*Inputs!C8</f>
        <v>8853.3601718066984</v>
      </c>
      <c r="J9" s="32">
        <f t="shared" si="0"/>
        <v>21685.410171806681</v>
      </c>
      <c r="K9" s="33">
        <v>1</v>
      </c>
      <c r="L9" s="32">
        <f t="shared" si="1"/>
        <v>21685.410171806681</v>
      </c>
      <c r="M9" s="17" t="s">
        <v>72</v>
      </c>
      <c r="N9" s="34" t="str">
        <f>IF(L9=MIN(L5:L20),"▼ WORST","—")</f>
        <v>—</v>
      </c>
      <c r="O9" s="1"/>
      <c r="P9" s="1"/>
    </row>
    <row r="10" spans="1:16" ht="15" customHeight="1" x14ac:dyDescent="0.35">
      <c r="A10" s="26">
        <v>6</v>
      </c>
      <c r="B10" s="27">
        <v>-0.33329999999999999</v>
      </c>
      <c r="C10" s="28">
        <v>-1</v>
      </c>
      <c r="D10" s="29">
        <f>B10*Inputs!C11</f>
        <v>-1.1665500000000001E-2</v>
      </c>
      <c r="E10" s="20">
        <f>Inputs!C4*(1+D10)</f>
        <v>21743.359</v>
      </c>
      <c r="F10" s="30">
        <f>C10*Inputs!C12*100</f>
        <v>-4</v>
      </c>
      <c r="G10" s="24">
        <f>MAX((Inputs!C5+F10)/100,0.01)</f>
        <v>0.105</v>
      </c>
      <c r="H10" s="31">
        <f>(-1)*Inputs!C8*(E10-Inputs!C4)</f>
        <v>12832.049999999981</v>
      </c>
      <c r="I10" s="31">
        <f>(0.5*(Inputs!C4-E10)+0.4*Inputs!C4*SQRT(Inputs!C7/365)*F10/100)*Inputs!C8</f>
        <v>3978.6898281932836</v>
      </c>
      <c r="J10" s="32">
        <f t="shared" si="0"/>
        <v>16810.739828193266</v>
      </c>
      <c r="K10" s="33">
        <v>1</v>
      </c>
      <c r="L10" s="32">
        <f t="shared" si="1"/>
        <v>16810.739828193266</v>
      </c>
      <c r="M10" s="17" t="s">
        <v>72</v>
      </c>
      <c r="N10" s="34" t="str">
        <f>IF(L10=MIN(L5:L20),"▼ WORST","—")</f>
        <v>—</v>
      </c>
      <c r="O10" s="1"/>
      <c r="P10" s="1"/>
    </row>
    <row r="11" spans="1:16" ht="15" customHeight="1" x14ac:dyDescent="0.35">
      <c r="A11" s="26">
        <v>7</v>
      </c>
      <c r="B11" s="27">
        <v>0.66669999999999996</v>
      </c>
      <c r="C11" s="28">
        <v>1</v>
      </c>
      <c r="D11" s="29">
        <f>B11*Inputs!C11</f>
        <v>2.3334500000000001E-2</v>
      </c>
      <c r="E11" s="20">
        <f>Inputs!C4*(1+D11)</f>
        <v>22513.359</v>
      </c>
      <c r="F11" s="30">
        <f>C11*Inputs!C12*100</f>
        <v>4</v>
      </c>
      <c r="G11" s="24">
        <f>MAX((Inputs!C5+F11)/100,0.01)</f>
        <v>0.185</v>
      </c>
      <c r="H11" s="31">
        <f>(-1)*Inputs!C8*(E11-Inputs!C4)</f>
        <v>-25667.950000000019</v>
      </c>
      <c r="I11" s="31">
        <f>(0.5*(Inputs!C4-E11)+0.4*Inputs!C4*SQRT(Inputs!C7/365)*F11/100)*Inputs!C8</f>
        <v>-10396.639828193302</v>
      </c>
      <c r="J11" s="32">
        <f t="shared" si="0"/>
        <v>-36064.589828193319</v>
      </c>
      <c r="K11" s="33">
        <v>1</v>
      </c>
      <c r="L11" s="32">
        <f t="shared" si="1"/>
        <v>-36064.589828193319</v>
      </c>
      <c r="M11" s="17" t="s">
        <v>72</v>
      </c>
      <c r="N11" s="34" t="str">
        <f>IF(L11=MIN(L5:L20),"▼ WORST","—")</f>
        <v>—</v>
      </c>
      <c r="O11" s="1"/>
      <c r="P11" s="1"/>
    </row>
    <row r="12" spans="1:16" ht="15" customHeight="1" x14ac:dyDescent="0.35">
      <c r="A12" s="26">
        <v>8</v>
      </c>
      <c r="B12" s="27">
        <v>0.66669999999999996</v>
      </c>
      <c r="C12" s="28">
        <v>-1</v>
      </c>
      <c r="D12" s="29">
        <f>B12*Inputs!C11</f>
        <v>2.3334500000000001E-2</v>
      </c>
      <c r="E12" s="20">
        <f>Inputs!C4*(1+D12)</f>
        <v>22513.359</v>
      </c>
      <c r="F12" s="30">
        <f>C12*Inputs!C12*100</f>
        <v>-4</v>
      </c>
      <c r="G12" s="24">
        <f>MAX((Inputs!C5+F12)/100,0.01)</f>
        <v>0.105</v>
      </c>
      <c r="H12" s="31">
        <f>(-1)*Inputs!C8*(E12-Inputs!C4)</f>
        <v>-25667.950000000019</v>
      </c>
      <c r="I12" s="31">
        <f>(0.5*(Inputs!C4-E12)+0.4*Inputs!C4*SQRT(Inputs!C7/365)*F12/100)*Inputs!C8</f>
        <v>-15271.310171806716</v>
      </c>
      <c r="J12" s="32">
        <f t="shared" si="0"/>
        <v>-40939.260171806731</v>
      </c>
      <c r="K12" s="33">
        <v>1</v>
      </c>
      <c r="L12" s="32">
        <f t="shared" si="1"/>
        <v>-40939.260171806731</v>
      </c>
      <c r="M12" s="17" t="s">
        <v>72</v>
      </c>
      <c r="N12" s="34" t="str">
        <f>IF(L12=MIN(L5:L20),"▼ WORST","—")</f>
        <v>—</v>
      </c>
      <c r="O12" s="1"/>
      <c r="P12" s="1"/>
    </row>
    <row r="13" spans="1:16" ht="15" customHeight="1" x14ac:dyDescent="0.35">
      <c r="A13" s="26">
        <v>9</v>
      </c>
      <c r="B13" s="27">
        <v>-0.66669999999999996</v>
      </c>
      <c r="C13" s="28">
        <v>1</v>
      </c>
      <c r="D13" s="29">
        <f>B13*Inputs!C11</f>
        <v>-2.3334500000000001E-2</v>
      </c>
      <c r="E13" s="20">
        <f>Inputs!C4*(1+D13)</f>
        <v>21486.641</v>
      </c>
      <c r="F13" s="30">
        <f>C13*Inputs!C12*100</f>
        <v>4</v>
      </c>
      <c r="G13" s="24">
        <f>MAX((Inputs!C5+F13)/100,0.01)</f>
        <v>0.185</v>
      </c>
      <c r="H13" s="31">
        <f>(-1)*Inputs!C8*(E13-Inputs!C4)</f>
        <v>25667.950000000019</v>
      </c>
      <c r="I13" s="31">
        <f>(0.5*(Inputs!C4-E13)+0.4*Inputs!C4*SQRT(Inputs!C7/365)*F13/100)*Inputs!C8</f>
        <v>15271.310171806716</v>
      </c>
      <c r="J13" s="32">
        <f t="shared" si="0"/>
        <v>40939.260171806731</v>
      </c>
      <c r="K13" s="33">
        <v>1</v>
      </c>
      <c r="L13" s="32">
        <f t="shared" si="1"/>
        <v>40939.260171806731</v>
      </c>
      <c r="M13" s="17" t="s">
        <v>72</v>
      </c>
      <c r="N13" s="34" t="str">
        <f>IF(L13=MIN(L5:L20),"▼ WORST","—")</f>
        <v>—</v>
      </c>
      <c r="O13" s="1"/>
      <c r="P13" s="1"/>
    </row>
    <row r="14" spans="1:16" ht="15" customHeight="1" x14ac:dyDescent="0.35">
      <c r="A14" s="26">
        <v>10</v>
      </c>
      <c r="B14" s="27">
        <v>-0.66669999999999996</v>
      </c>
      <c r="C14" s="28">
        <v>-1</v>
      </c>
      <c r="D14" s="29">
        <f>B14*Inputs!C11</f>
        <v>-2.3334500000000001E-2</v>
      </c>
      <c r="E14" s="20">
        <f>Inputs!C4*(1+D14)</f>
        <v>21486.641</v>
      </c>
      <c r="F14" s="30">
        <f>C14*Inputs!C12*100</f>
        <v>-4</v>
      </c>
      <c r="G14" s="24">
        <f>MAX((Inputs!C5+F14)/100,0.01)</f>
        <v>0.105</v>
      </c>
      <c r="H14" s="31">
        <f>(-1)*Inputs!C8*(E14-Inputs!C4)</f>
        <v>25667.950000000019</v>
      </c>
      <c r="I14" s="31">
        <f>(0.5*(Inputs!C4-E14)+0.4*Inputs!C4*SQRT(Inputs!C7/365)*F14/100)*Inputs!C8</f>
        <v>10396.639828193302</v>
      </c>
      <c r="J14" s="32">
        <f t="shared" si="0"/>
        <v>36064.589828193319</v>
      </c>
      <c r="K14" s="33">
        <v>1</v>
      </c>
      <c r="L14" s="32">
        <f t="shared" si="1"/>
        <v>36064.589828193319</v>
      </c>
      <c r="M14" s="17" t="s">
        <v>72</v>
      </c>
      <c r="N14" s="34" t="str">
        <f>IF(L14=MIN(L5:L20),"▼ WORST","—")</f>
        <v>—</v>
      </c>
      <c r="O14" s="1"/>
      <c r="P14" s="1"/>
    </row>
    <row r="15" spans="1:16" ht="15" customHeight="1" x14ac:dyDescent="0.35">
      <c r="A15" s="26">
        <v>11</v>
      </c>
      <c r="B15" s="27">
        <v>1</v>
      </c>
      <c r="C15" s="28">
        <v>1</v>
      </c>
      <c r="D15" s="29">
        <f>B15*Inputs!C11</f>
        <v>3.5000000000000003E-2</v>
      </c>
      <c r="E15" s="20">
        <f>Inputs!C4*(1+D15)</f>
        <v>22770</v>
      </c>
      <c r="F15" s="30">
        <f>C15*Inputs!C12*100</f>
        <v>4</v>
      </c>
      <c r="G15" s="24">
        <f>MAX((Inputs!C5+F15)/100,0.01)</f>
        <v>0.185</v>
      </c>
      <c r="H15" s="31">
        <f>(-1)*Inputs!C8*(E15-Inputs!C4)</f>
        <v>-38500</v>
      </c>
      <c r="I15" s="31">
        <f>(0.5*(Inputs!C4-E15)+0.4*Inputs!C4*SQRT(Inputs!C7/365)*F15/100)*Inputs!C8</f>
        <v>-16812.664828193294</v>
      </c>
      <c r="J15" s="32">
        <f t="shared" si="0"/>
        <v>-55312.664828193294</v>
      </c>
      <c r="K15" s="33">
        <v>1</v>
      </c>
      <c r="L15" s="32">
        <f t="shared" si="1"/>
        <v>-55312.664828193294</v>
      </c>
      <c r="M15" s="17" t="s">
        <v>72</v>
      </c>
      <c r="N15" s="34" t="str">
        <f>IF(L15=MIN(L5:L20),"▼ WORST","—")</f>
        <v>—</v>
      </c>
      <c r="O15" s="1"/>
      <c r="P15" s="1"/>
    </row>
    <row r="16" spans="1:16" ht="15" customHeight="1" x14ac:dyDescent="0.35">
      <c r="A16" s="26">
        <v>12</v>
      </c>
      <c r="B16" s="27">
        <v>1</v>
      </c>
      <c r="C16" s="28">
        <v>-1</v>
      </c>
      <c r="D16" s="29">
        <f>B16*Inputs!C11</f>
        <v>3.5000000000000003E-2</v>
      </c>
      <c r="E16" s="20">
        <f>Inputs!C4*(1+D16)</f>
        <v>22770</v>
      </c>
      <c r="F16" s="30">
        <f>C16*Inputs!C12*100</f>
        <v>-4</v>
      </c>
      <c r="G16" s="24">
        <f>MAX((Inputs!C5+F16)/100,0.01)</f>
        <v>0.105</v>
      </c>
      <c r="H16" s="31">
        <f>(-1)*Inputs!C8*(E16-Inputs!C4)</f>
        <v>-38500</v>
      </c>
      <c r="I16" s="31">
        <f>(0.5*(Inputs!C4-E16)+0.4*Inputs!C4*SQRT(Inputs!C7/365)*F16/100)*Inputs!C8</f>
        <v>-21687.335171806706</v>
      </c>
      <c r="J16" s="32">
        <f t="shared" si="0"/>
        <v>-60187.335171806706</v>
      </c>
      <c r="K16" s="33">
        <v>1</v>
      </c>
      <c r="L16" s="32">
        <f t="shared" si="1"/>
        <v>-60187.335171806706</v>
      </c>
      <c r="M16" s="17" t="s">
        <v>72</v>
      </c>
      <c r="N16" s="34" t="str">
        <f>IF(L16=MIN(L5:L20),"▼ WORST","—")</f>
        <v>—</v>
      </c>
      <c r="O16" s="1"/>
      <c r="P16" s="1"/>
    </row>
    <row r="17" spans="1:16" ht="15" customHeight="1" x14ac:dyDescent="0.35">
      <c r="A17" s="26">
        <v>13</v>
      </c>
      <c r="B17" s="27">
        <v>-1</v>
      </c>
      <c r="C17" s="28">
        <v>1</v>
      </c>
      <c r="D17" s="29">
        <f>B17*Inputs!C11</f>
        <v>-3.5000000000000003E-2</v>
      </c>
      <c r="E17" s="20">
        <f>Inputs!C4*(1+D17)</f>
        <v>21230</v>
      </c>
      <c r="F17" s="30">
        <f>C17*Inputs!C12*100</f>
        <v>4</v>
      </c>
      <c r="G17" s="24">
        <f>MAX((Inputs!C5+F17)/100,0.01)</f>
        <v>0.185</v>
      </c>
      <c r="H17" s="31">
        <f>(-1)*Inputs!C8*(E17-Inputs!C4)</f>
        <v>38500</v>
      </c>
      <c r="I17" s="31">
        <f>(0.5*(Inputs!C4-E17)+0.4*Inputs!C4*SQRT(Inputs!C7/365)*F17/100)*Inputs!C8</f>
        <v>21687.335171806706</v>
      </c>
      <c r="J17" s="32">
        <f t="shared" si="0"/>
        <v>60187.335171806706</v>
      </c>
      <c r="K17" s="33">
        <v>1</v>
      </c>
      <c r="L17" s="32">
        <f t="shared" si="1"/>
        <v>60187.335171806706</v>
      </c>
      <c r="M17" s="17" t="s">
        <v>72</v>
      </c>
      <c r="N17" s="34" t="str">
        <f>IF(L17=MIN(L5:L20),"▼ WORST","—")</f>
        <v>—</v>
      </c>
      <c r="O17" s="1"/>
      <c r="P17" s="1"/>
    </row>
    <row r="18" spans="1:16" ht="15" customHeight="1" x14ac:dyDescent="0.35">
      <c r="A18" s="26">
        <v>14</v>
      </c>
      <c r="B18" s="27">
        <v>-1</v>
      </c>
      <c r="C18" s="28">
        <v>-1</v>
      </c>
      <c r="D18" s="29">
        <f>B18*Inputs!C11</f>
        <v>-3.5000000000000003E-2</v>
      </c>
      <c r="E18" s="20">
        <f>Inputs!C4*(1+D18)</f>
        <v>21230</v>
      </c>
      <c r="F18" s="30">
        <f>C18*Inputs!C12*100</f>
        <v>-4</v>
      </c>
      <c r="G18" s="24">
        <f>MAX((Inputs!C5+F18)/100,0.01)</f>
        <v>0.105</v>
      </c>
      <c r="H18" s="31">
        <f>(-1)*Inputs!C8*(E18-Inputs!C4)</f>
        <v>38500</v>
      </c>
      <c r="I18" s="31">
        <f>(0.5*(Inputs!C4-E18)+0.4*Inputs!C4*SQRT(Inputs!C7/365)*F18/100)*Inputs!C8</f>
        <v>16812.664828193294</v>
      </c>
      <c r="J18" s="32">
        <f t="shared" si="0"/>
        <v>55312.664828193294</v>
      </c>
      <c r="K18" s="33">
        <v>1</v>
      </c>
      <c r="L18" s="32">
        <f t="shared" si="1"/>
        <v>55312.664828193294</v>
      </c>
      <c r="M18" s="17" t="s">
        <v>72</v>
      </c>
      <c r="N18" s="34" t="str">
        <f>IF(L18=MIN(L5:L20),"▼ WORST","—")</f>
        <v>—</v>
      </c>
      <c r="O18" s="1"/>
      <c r="P18" s="1"/>
    </row>
    <row r="19" spans="1:16" ht="15" customHeight="1" x14ac:dyDescent="0.35">
      <c r="A19" s="35">
        <v>15</v>
      </c>
      <c r="B19" s="27">
        <v>3</v>
      </c>
      <c r="C19" s="28">
        <v>0</v>
      </c>
      <c r="D19" s="36">
        <f>B19*Inputs!C11</f>
        <v>0.10500000000000001</v>
      </c>
      <c r="E19" s="37">
        <f>Inputs!C4*(1+D19)</f>
        <v>24310</v>
      </c>
      <c r="F19" s="38">
        <f>C19*Inputs!C12*100</f>
        <v>0</v>
      </c>
      <c r="G19" s="39">
        <f>MAX((Inputs!C5+F19)/100,0.01)</f>
        <v>0.14499999999999999</v>
      </c>
      <c r="H19" s="40">
        <f>(-1)*Inputs!C8*(E19-Inputs!C4)</f>
        <v>-115500</v>
      </c>
      <c r="I19" s="40">
        <f>(0.5*(Inputs!C4-E19)+0.4*Inputs!C4*SQRT(Inputs!C7/365)*F19/100)*Inputs!C8</f>
        <v>-57750</v>
      </c>
      <c r="J19" s="41">
        <f t="shared" si="0"/>
        <v>-173250</v>
      </c>
      <c r="K19" s="42">
        <v>0.35</v>
      </c>
      <c r="L19" s="41">
        <f t="shared" si="1"/>
        <v>-60637.499999999993</v>
      </c>
      <c r="M19" s="43" t="s">
        <v>96</v>
      </c>
      <c r="N19" s="44" t="str">
        <f>IF(L19=MIN(L5:L20),"▼ WORST","—")</f>
        <v>▼ WORST</v>
      </c>
      <c r="O19" s="1"/>
      <c r="P19" s="1"/>
    </row>
    <row r="20" spans="1:16" ht="15" customHeight="1" x14ac:dyDescent="0.35">
      <c r="A20" s="35">
        <v>16</v>
      </c>
      <c r="B20" s="27">
        <v>-3</v>
      </c>
      <c r="C20" s="28">
        <v>0</v>
      </c>
      <c r="D20" s="36">
        <f>B20*Inputs!C11</f>
        <v>-0.10500000000000001</v>
      </c>
      <c r="E20" s="37">
        <f>Inputs!C4*(1+D20)</f>
        <v>19690</v>
      </c>
      <c r="F20" s="38">
        <f>C20*Inputs!C12*100</f>
        <v>0</v>
      </c>
      <c r="G20" s="39">
        <f>MAX((Inputs!C5+F20)/100,0.01)</f>
        <v>0.14499999999999999</v>
      </c>
      <c r="H20" s="40">
        <f>(-1)*Inputs!C8*(E20-Inputs!C4)</f>
        <v>115500</v>
      </c>
      <c r="I20" s="40">
        <f>(0.5*(Inputs!C4-E20)+0.4*Inputs!C4*SQRT(Inputs!C7/365)*F20/100)*Inputs!C8</f>
        <v>57750</v>
      </c>
      <c r="J20" s="41">
        <f t="shared" si="0"/>
        <v>173250</v>
      </c>
      <c r="K20" s="42">
        <v>0.35</v>
      </c>
      <c r="L20" s="41">
        <f t="shared" si="1"/>
        <v>60637.499999999993</v>
      </c>
      <c r="M20" s="43" t="s">
        <v>96</v>
      </c>
      <c r="N20" s="44" t="str">
        <f>IF(L20=MIN(L5:L20),"▼ WORST","—")</f>
        <v>—</v>
      </c>
      <c r="O20" s="1"/>
      <c r="P20" s="1"/>
    </row>
    <row r="21" spans="1:16" ht="6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8" customHeight="1" x14ac:dyDescent="0.35">
      <c r="A22" s="123" t="s">
        <v>97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45">
        <f>MAX(-MIN(L5:L20),0)</f>
        <v>60637.499999999993</v>
      </c>
      <c r="M22" s="124"/>
      <c r="N22" s="109"/>
      <c r="O22" s="1"/>
      <c r="P22" s="1"/>
    </row>
    <row r="23" spans="1:16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</sheetData>
  <mergeCells count="4">
    <mergeCell ref="A22:K22"/>
    <mergeCell ref="M22:N22"/>
    <mergeCell ref="A2:N2"/>
    <mergeCell ref="A1:N1"/>
  </mergeCells>
  <conditionalFormatting sqref="L5:L20">
    <cfRule type="colorScale" priority="1">
      <colorScale>
        <cfvo type="min"/>
        <cfvo type="num" val="0"/>
        <cfvo type="max"/>
        <color rgb="FFFFCCCC"/>
        <color rgb="FFFFFFFF"/>
        <color rgb="FFCCFFCC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J50"/>
  <sheetViews>
    <sheetView showGridLines="0" workbookViewId="0">
      <selection activeCell="A18" sqref="A18:G18"/>
    </sheetView>
  </sheetViews>
  <sheetFormatPr defaultRowHeight="14.5" x14ac:dyDescent="0.35"/>
  <cols>
    <col min="1" max="1" width="30" customWidth="1"/>
    <col min="2" max="2" width="4" customWidth="1"/>
    <col min="3" max="3" width="16" customWidth="1"/>
    <col min="4" max="7" width="2" customWidth="1"/>
  </cols>
  <sheetData>
    <row r="1" spans="1:10" ht="24" customHeight="1" x14ac:dyDescent="0.35">
      <c r="A1" s="122" t="s">
        <v>98</v>
      </c>
      <c r="B1" s="109"/>
      <c r="C1" s="109"/>
      <c r="D1" s="109"/>
      <c r="E1" s="109"/>
      <c r="F1" s="109"/>
      <c r="G1" s="109"/>
      <c r="H1" s="1"/>
      <c r="I1" s="1"/>
      <c r="J1" s="1"/>
    </row>
    <row r="2" spans="1:10" x14ac:dyDescent="0.3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6" customHeight="1" x14ac:dyDescent="0.35">
      <c r="A4" s="120" t="s">
        <v>99</v>
      </c>
      <c r="B4" s="109"/>
      <c r="C4" s="109"/>
      <c r="D4" s="109"/>
      <c r="E4" s="109"/>
      <c r="F4" s="109"/>
      <c r="G4" s="109"/>
      <c r="H4" s="1"/>
      <c r="I4" s="1"/>
      <c r="J4" s="1"/>
    </row>
    <row r="5" spans="1:10" ht="16" customHeight="1" x14ac:dyDescent="0.35">
      <c r="A5" s="121" t="s">
        <v>100</v>
      </c>
      <c r="B5" s="103"/>
      <c r="C5" s="47">
        <f>MIN(Scenarios!L5:L20)</f>
        <v>-60637.499999999993</v>
      </c>
      <c r="D5" s="1"/>
      <c r="E5" s="1"/>
      <c r="F5" s="1"/>
      <c r="G5" s="1"/>
      <c r="H5" s="1"/>
      <c r="I5" s="1"/>
      <c r="J5" s="1"/>
    </row>
    <row r="6" spans="1:10" ht="16" customHeight="1" x14ac:dyDescent="0.35">
      <c r="A6" s="127" t="s">
        <v>101</v>
      </c>
      <c r="B6" s="103"/>
      <c r="C6" s="48">
        <f>MAX(-MIN(Scenarios!L5:L20),0)</f>
        <v>60637.499999999993</v>
      </c>
      <c r="D6" s="1"/>
      <c r="E6" s="1"/>
      <c r="F6" s="1"/>
      <c r="G6" s="1"/>
      <c r="H6" s="1"/>
      <c r="I6" s="1"/>
      <c r="J6" s="1"/>
    </row>
    <row r="7" spans="1:10" ht="6" customHeight="1" x14ac:dyDescent="0.3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6" customHeight="1" x14ac:dyDescent="0.35">
      <c r="A8" s="120" t="s">
        <v>102</v>
      </c>
      <c r="B8" s="109"/>
      <c r="C8" s="109"/>
      <c r="D8" s="109"/>
      <c r="E8" s="109"/>
      <c r="F8" s="109"/>
      <c r="G8" s="109"/>
      <c r="H8" s="1"/>
      <c r="I8" s="1"/>
      <c r="J8" s="1"/>
    </row>
    <row r="9" spans="1:10" ht="16" customHeight="1" x14ac:dyDescent="0.35">
      <c r="A9" s="121" t="s">
        <v>103</v>
      </c>
      <c r="B9" s="103"/>
      <c r="C9" s="22">
        <f>ABS(-1)*Inputs!C8*Inputs!C4</f>
        <v>1100000</v>
      </c>
      <c r="D9" s="1"/>
      <c r="E9" s="1"/>
      <c r="F9" s="1"/>
      <c r="G9" s="1"/>
      <c r="H9" s="1"/>
      <c r="I9" s="1"/>
      <c r="J9" s="1"/>
    </row>
    <row r="10" spans="1:10" ht="16" customHeight="1" x14ac:dyDescent="0.35">
      <c r="A10" s="121" t="s">
        <v>104</v>
      </c>
      <c r="B10" s="103"/>
      <c r="C10" s="49">
        <f>Inputs!C15</f>
        <v>0.03</v>
      </c>
      <c r="D10" s="1"/>
      <c r="E10" s="1"/>
      <c r="F10" s="1"/>
      <c r="G10" s="1"/>
      <c r="H10" s="1"/>
      <c r="I10" s="1"/>
      <c r="J10" s="1"/>
    </row>
    <row r="11" spans="1:10" ht="16" customHeight="1" x14ac:dyDescent="0.35">
      <c r="A11" s="127" t="s">
        <v>105</v>
      </c>
      <c r="B11" s="103"/>
      <c r="C11" s="48">
        <f>C9*C10</f>
        <v>33000</v>
      </c>
      <c r="D11" s="1"/>
      <c r="E11" s="1"/>
      <c r="F11" s="1"/>
      <c r="G11" s="1"/>
      <c r="H11" s="1"/>
      <c r="I11" s="1"/>
      <c r="J11" s="1"/>
    </row>
    <row r="12" spans="1:10" ht="6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20" customHeight="1" x14ac:dyDescent="0.35">
      <c r="A13" s="112" t="s">
        <v>106</v>
      </c>
      <c r="B13" s="109"/>
      <c r="C13" s="109"/>
      <c r="D13" s="109"/>
      <c r="E13" s="109"/>
      <c r="F13" s="109"/>
      <c r="G13" s="109"/>
      <c r="H13" s="1"/>
      <c r="I13" s="1"/>
      <c r="J13" s="1"/>
    </row>
    <row r="14" spans="1:10" ht="16" customHeight="1" x14ac:dyDescent="0.35">
      <c r="A14" s="121" t="s">
        <v>107</v>
      </c>
      <c r="B14" s="103"/>
      <c r="C14" s="20">
        <f>C6</f>
        <v>60637.499999999993</v>
      </c>
      <c r="D14" s="1"/>
      <c r="E14" s="1"/>
      <c r="F14" s="1"/>
      <c r="G14" s="1"/>
      <c r="H14" s="1"/>
      <c r="I14" s="1"/>
      <c r="J14" s="1"/>
    </row>
    <row r="15" spans="1:10" ht="16" customHeight="1" x14ac:dyDescent="0.35">
      <c r="A15" s="121" t="s">
        <v>108</v>
      </c>
      <c r="B15" s="103"/>
      <c r="C15" s="20">
        <f>C11</f>
        <v>33000</v>
      </c>
      <c r="D15" s="1"/>
      <c r="E15" s="1"/>
      <c r="F15" s="1"/>
      <c r="G15" s="1"/>
      <c r="H15" s="1"/>
      <c r="I15" s="1"/>
      <c r="J15" s="1"/>
    </row>
    <row r="16" spans="1:10" ht="22" customHeight="1" x14ac:dyDescent="0.35">
      <c r="A16" s="126" t="s">
        <v>109</v>
      </c>
      <c r="B16" s="103"/>
      <c r="C16" s="50">
        <f>C14+C15</f>
        <v>93637.5</v>
      </c>
      <c r="D16" s="1"/>
      <c r="E16" s="1"/>
      <c r="F16" s="1"/>
      <c r="G16" s="1"/>
      <c r="H16" s="1"/>
      <c r="I16" s="1"/>
      <c r="J16" s="1"/>
    </row>
    <row r="17" spans="1:10" ht="6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4" customHeight="1" x14ac:dyDescent="0.35">
      <c r="A18" s="113" t="s">
        <v>110</v>
      </c>
      <c r="B18" s="109"/>
      <c r="C18" s="109"/>
      <c r="D18" s="109"/>
      <c r="E18" s="109"/>
      <c r="F18" s="109"/>
      <c r="G18" s="109"/>
      <c r="H18" s="1"/>
      <c r="I18" s="1"/>
      <c r="J18" s="1"/>
    </row>
    <row r="19" spans="1:10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</row>
  </sheetData>
  <mergeCells count="13">
    <mergeCell ref="A13:G13"/>
    <mergeCell ref="A16:B16"/>
    <mergeCell ref="A1:G1"/>
    <mergeCell ref="A15:B15"/>
    <mergeCell ref="A18:G18"/>
    <mergeCell ref="A8:G8"/>
    <mergeCell ref="A11:B11"/>
    <mergeCell ref="A10:B10"/>
    <mergeCell ref="A5:B5"/>
    <mergeCell ref="A4:G4"/>
    <mergeCell ref="A14:B14"/>
    <mergeCell ref="A9:B9"/>
    <mergeCell ref="A6:B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D4E7A"/>
  </sheetPr>
  <dimension ref="A1:L50"/>
  <sheetViews>
    <sheetView showGridLines="0" workbookViewId="0">
      <selection activeCell="H14" sqref="H14"/>
    </sheetView>
  </sheetViews>
  <sheetFormatPr defaultRowHeight="14.5" x14ac:dyDescent="0.35"/>
  <cols>
    <col min="1" max="1" width="28" customWidth="1"/>
    <col min="2" max="2" width="7" customWidth="1"/>
    <col min="3" max="3" width="16" customWidth="1"/>
    <col min="4" max="4" width="4" customWidth="1"/>
    <col min="5" max="5" width="16" customWidth="1"/>
    <col min="6" max="6" width="4" customWidth="1"/>
    <col min="7" max="7" width="16" customWidth="1"/>
    <col min="8" max="8" width="10" customWidth="1"/>
  </cols>
  <sheetData>
    <row r="1" spans="1:12" ht="24" customHeight="1" x14ac:dyDescent="0.35">
      <c r="A1" s="122" t="s">
        <v>111</v>
      </c>
      <c r="B1" s="109"/>
      <c r="C1" s="109"/>
      <c r="D1" s="109"/>
      <c r="E1" s="109"/>
      <c r="F1" s="109"/>
      <c r="G1" s="109"/>
      <c r="H1" s="109"/>
      <c r="I1" s="109"/>
      <c r="J1" s="109"/>
      <c r="K1" s="1"/>
      <c r="L1" s="1"/>
    </row>
    <row r="2" spans="1:12" ht="14" customHeight="1" x14ac:dyDescent="0.35">
      <c r="A2" s="125" t="s">
        <v>112</v>
      </c>
      <c r="B2" s="109"/>
      <c r="C2" s="109"/>
      <c r="D2" s="109"/>
      <c r="E2" s="109"/>
      <c r="F2" s="109"/>
      <c r="G2" s="109"/>
      <c r="H2" s="109"/>
      <c r="I2" s="109"/>
      <c r="J2" s="109"/>
      <c r="K2" s="1"/>
      <c r="L2" s="1"/>
    </row>
    <row r="3" spans="1:12" ht="6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4" customHeight="1" x14ac:dyDescent="0.35">
      <c r="A4" s="120"/>
      <c r="B4" s="109"/>
      <c r="C4" s="109"/>
      <c r="D4" s="109"/>
      <c r="E4" s="109"/>
      <c r="F4" s="109"/>
      <c r="G4" s="109"/>
      <c r="H4" s="109"/>
      <c r="I4" s="109"/>
      <c r="J4" s="109"/>
      <c r="K4" s="1"/>
      <c r="L4" s="1"/>
    </row>
    <row r="5" spans="1:12" ht="28" customHeight="1" x14ac:dyDescent="0.35">
      <c r="A5" s="11" t="s">
        <v>113</v>
      </c>
      <c r="B5" s="11" t="s">
        <v>114</v>
      </c>
      <c r="C5" s="11" t="s">
        <v>115</v>
      </c>
      <c r="D5" s="1"/>
      <c r="E5" s="51" t="s">
        <v>189</v>
      </c>
      <c r="F5" s="1"/>
      <c r="G5" s="11" t="s">
        <v>116</v>
      </c>
      <c r="H5" s="11" t="s">
        <v>117</v>
      </c>
      <c r="I5" s="1"/>
      <c r="J5" s="1"/>
      <c r="K5" s="1"/>
      <c r="L5" s="1"/>
    </row>
    <row r="6" spans="1:12" ht="15" customHeight="1" x14ac:dyDescent="0.35">
      <c r="A6" s="46" t="s">
        <v>29</v>
      </c>
      <c r="B6" s="52" t="s">
        <v>30</v>
      </c>
      <c r="C6" s="128">
        <f>Inputs!C4</f>
        <v>22000</v>
      </c>
      <c r="D6" s="103"/>
      <c r="E6" s="128">
        <f>Inputs!C4</f>
        <v>22000</v>
      </c>
      <c r="F6" s="103"/>
      <c r="G6" s="1"/>
      <c r="H6" s="1"/>
      <c r="I6" s="1"/>
      <c r="J6" s="1"/>
      <c r="K6" s="1"/>
      <c r="L6" s="1"/>
    </row>
    <row r="7" spans="1:12" ht="15" customHeight="1" x14ac:dyDescent="0.35">
      <c r="A7" s="46" t="s">
        <v>32</v>
      </c>
      <c r="B7" s="52" t="s">
        <v>33</v>
      </c>
      <c r="C7" s="129">
        <f>Inputs!C5</f>
        <v>14.5</v>
      </c>
      <c r="D7" s="103"/>
      <c r="E7" s="129">
        <f>Inputs!C5</f>
        <v>14.5</v>
      </c>
      <c r="F7" s="103"/>
      <c r="G7" s="1"/>
      <c r="H7" s="1"/>
      <c r="I7" s="1"/>
      <c r="J7" s="1"/>
      <c r="K7" s="1"/>
      <c r="L7" s="1"/>
    </row>
    <row r="8" spans="1:12" ht="15" customHeight="1" x14ac:dyDescent="0.35">
      <c r="A8" s="46" t="s">
        <v>118</v>
      </c>
      <c r="B8" s="52" t="s">
        <v>33</v>
      </c>
      <c r="C8" s="132">
        <f>Inputs!C11</f>
        <v>3.5000000000000003E-2</v>
      </c>
      <c r="D8" s="103"/>
      <c r="E8" s="132">
        <f>Inputs!C11</f>
        <v>3.5000000000000003E-2</v>
      </c>
      <c r="F8" s="103"/>
      <c r="G8" s="1"/>
      <c r="H8" s="1"/>
      <c r="I8" s="1"/>
      <c r="J8" s="1"/>
      <c r="K8" s="1"/>
      <c r="L8" s="1"/>
    </row>
    <row r="9" spans="1:12" ht="15" customHeight="1" x14ac:dyDescent="0.35">
      <c r="A9" s="46" t="s">
        <v>119</v>
      </c>
      <c r="B9" s="52"/>
      <c r="C9" s="131" t="s">
        <v>120</v>
      </c>
      <c r="D9" s="103"/>
      <c r="E9" s="131" t="s">
        <v>190</v>
      </c>
      <c r="F9" s="103"/>
      <c r="G9" s="1"/>
      <c r="H9" s="1"/>
      <c r="I9" s="1"/>
      <c r="J9" s="1"/>
      <c r="K9" s="1"/>
      <c r="L9" s="1"/>
    </row>
    <row r="10" spans="1:12" ht="15" customHeight="1" x14ac:dyDescent="0.35">
      <c r="A10" s="46" t="s">
        <v>64</v>
      </c>
      <c r="B10" s="52"/>
      <c r="C10" s="130">
        <v>1</v>
      </c>
      <c r="D10" s="103"/>
      <c r="E10" s="130">
        <v>2</v>
      </c>
      <c r="F10" s="103"/>
      <c r="G10" s="1"/>
      <c r="H10" s="1"/>
      <c r="I10" s="1"/>
      <c r="J10" s="1"/>
      <c r="K10" s="1"/>
      <c r="L10" s="1"/>
    </row>
    <row r="11" spans="1:12" ht="6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6" customHeight="1" x14ac:dyDescent="0.35">
      <c r="A12" s="120" t="s">
        <v>121</v>
      </c>
      <c r="B12" s="109"/>
      <c r="C12" s="109"/>
      <c r="D12" s="109"/>
      <c r="E12" s="109"/>
      <c r="F12" s="109"/>
      <c r="G12" s="109"/>
      <c r="H12" s="109"/>
      <c r="I12" s="109"/>
      <c r="J12" s="109"/>
      <c r="K12" s="1"/>
      <c r="L12" s="1"/>
    </row>
    <row r="13" spans="1:12" ht="15" customHeight="1" x14ac:dyDescent="0.35">
      <c r="A13" s="53" t="s">
        <v>122</v>
      </c>
      <c r="B13" s="54" t="s">
        <v>30</v>
      </c>
      <c r="C13" s="22">
        <f>Scenarios!L22</f>
        <v>60637.499999999993</v>
      </c>
      <c r="D13" s="55" t="s">
        <v>123</v>
      </c>
      <c r="E13" s="20">
        <f>C13*0.4</f>
        <v>24255</v>
      </c>
      <c r="F13" s="55" t="s">
        <v>124</v>
      </c>
      <c r="G13" s="56">
        <f>C13-E13</f>
        <v>36382.499999999993</v>
      </c>
      <c r="H13" s="57">
        <f>(C13-E13)/C13</f>
        <v>0.6</v>
      </c>
      <c r="I13" s="1"/>
      <c r="J13" s="1"/>
      <c r="K13" s="1"/>
      <c r="L13" s="1"/>
    </row>
    <row r="14" spans="1:12" ht="15" customHeight="1" x14ac:dyDescent="0.35">
      <c r="A14" s="53" t="s">
        <v>125</v>
      </c>
      <c r="B14" s="54" t="s">
        <v>30</v>
      </c>
      <c r="C14" s="22">
        <f>'Margin Calc'!C11</f>
        <v>33000</v>
      </c>
      <c r="D14" s="55" t="s">
        <v>123</v>
      </c>
      <c r="E14" s="22">
        <f>'Margin Calc'!C11</f>
        <v>33000</v>
      </c>
      <c r="F14" s="55" t="s">
        <v>124</v>
      </c>
      <c r="G14" s="56">
        <f>C14-E14</f>
        <v>0</v>
      </c>
      <c r="H14" s="57">
        <f>(C14-E14)/C14</f>
        <v>0</v>
      </c>
      <c r="I14" s="1"/>
      <c r="J14" s="1"/>
      <c r="K14" s="1"/>
      <c r="L14" s="1"/>
    </row>
    <row r="15" spans="1:12" ht="18" customHeight="1" x14ac:dyDescent="0.35">
      <c r="A15" s="58" t="s">
        <v>126</v>
      </c>
      <c r="B15" s="59" t="s">
        <v>30</v>
      </c>
      <c r="C15" s="60">
        <f>'Margin Calc'!C16</f>
        <v>93637.5</v>
      </c>
      <c r="D15" s="61" t="s">
        <v>123</v>
      </c>
      <c r="E15" s="62">
        <f>E13+E14</f>
        <v>57255</v>
      </c>
      <c r="F15" s="61" t="s">
        <v>124</v>
      </c>
      <c r="G15" s="63">
        <f>C15-E15</f>
        <v>36382.5</v>
      </c>
      <c r="H15" s="64">
        <f>(C15-E15)/C15</f>
        <v>0.38854625550660793</v>
      </c>
      <c r="I15" s="1"/>
      <c r="J15" s="1"/>
      <c r="K15" s="1"/>
      <c r="L15" s="1"/>
    </row>
    <row r="16" spans="1:12" ht="6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5">
      <c r="A17" s="113" t="s">
        <v>127</v>
      </c>
      <c r="B17" s="109"/>
      <c r="C17" s="109"/>
      <c r="D17" s="109"/>
      <c r="E17" s="109"/>
      <c r="F17" s="109"/>
      <c r="G17" s="109"/>
      <c r="H17" s="109"/>
      <c r="I17" s="109"/>
      <c r="J17" s="109"/>
      <c r="K17" s="1"/>
      <c r="L17" s="1"/>
    </row>
    <row r="18" spans="1:12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</sheetData>
  <mergeCells count="15">
    <mergeCell ref="A17:J17"/>
    <mergeCell ref="C9:D9"/>
    <mergeCell ref="A12:J12"/>
    <mergeCell ref="A4:J4"/>
    <mergeCell ref="A2:J2"/>
    <mergeCell ref="E9:F9"/>
    <mergeCell ref="E8:F8"/>
    <mergeCell ref="C8:D8"/>
    <mergeCell ref="A1:J1"/>
    <mergeCell ref="E6:F6"/>
    <mergeCell ref="C6:D6"/>
    <mergeCell ref="C7:D7"/>
    <mergeCell ref="C10:D10"/>
    <mergeCell ref="E7:F7"/>
    <mergeCell ref="E10:F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3728"/>
  </sheetPr>
  <dimension ref="A1:L55"/>
  <sheetViews>
    <sheetView showGridLines="0" workbookViewId="0">
      <pane ySplit="4" topLeftCell="A5" activePane="bottomLeft" state="frozen"/>
      <selection pane="bottomLeft" activeCell="D8" sqref="D8"/>
    </sheetView>
  </sheetViews>
  <sheetFormatPr defaultRowHeight="14.5" x14ac:dyDescent="0.35"/>
  <cols>
    <col min="1" max="1" width="10" customWidth="1"/>
    <col min="2" max="2" width="11" customWidth="1"/>
    <col min="3" max="3" width="9" customWidth="1"/>
    <col min="4" max="6" width="16" customWidth="1"/>
    <col min="7" max="7" width="14" customWidth="1"/>
    <col min="8" max="9" width="12" customWidth="1"/>
  </cols>
  <sheetData>
    <row r="1" spans="1:12" ht="24" customHeight="1" x14ac:dyDescent="0.35">
      <c r="A1" s="122" t="s">
        <v>128</v>
      </c>
      <c r="B1" s="109"/>
      <c r="C1" s="109"/>
      <c r="D1" s="109"/>
      <c r="E1" s="109"/>
      <c r="F1" s="109"/>
      <c r="G1" s="109"/>
      <c r="H1" s="109"/>
      <c r="I1" s="109"/>
      <c r="J1" s="1"/>
      <c r="K1" s="1"/>
      <c r="L1" s="1"/>
    </row>
    <row r="2" spans="1:12" ht="14" customHeight="1" x14ac:dyDescent="0.35">
      <c r="A2" s="125" t="s">
        <v>129</v>
      </c>
      <c r="B2" s="109"/>
      <c r="C2" s="109"/>
      <c r="D2" s="109"/>
      <c r="E2" s="109"/>
      <c r="F2" s="109"/>
      <c r="G2" s="109"/>
      <c r="H2" s="109"/>
      <c r="I2" s="109"/>
      <c r="J2" s="1"/>
      <c r="K2" s="1"/>
      <c r="L2" s="1"/>
    </row>
    <row r="3" spans="1:12" ht="6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8" customHeight="1" x14ac:dyDescent="0.35">
      <c r="A4" s="11" t="s">
        <v>32</v>
      </c>
      <c r="B4" s="11" t="s">
        <v>130</v>
      </c>
      <c r="C4" s="11" t="s">
        <v>131</v>
      </c>
      <c r="D4" s="11" t="s">
        <v>132</v>
      </c>
      <c r="E4" s="11" t="s">
        <v>133</v>
      </c>
      <c r="F4" s="11" t="s">
        <v>134</v>
      </c>
      <c r="G4" s="11" t="s">
        <v>135</v>
      </c>
      <c r="H4" s="11" t="s">
        <v>136</v>
      </c>
      <c r="I4" s="11" t="s">
        <v>137</v>
      </c>
      <c r="J4" s="1"/>
      <c r="K4" s="1"/>
      <c r="L4" s="1"/>
    </row>
    <row r="5" spans="1:12" ht="15" customHeight="1" x14ac:dyDescent="0.35">
      <c r="A5" s="65">
        <v>10</v>
      </c>
      <c r="B5" s="66">
        <v>0.1</v>
      </c>
      <c r="C5" s="66">
        <v>3.5000000000000003E-2</v>
      </c>
      <c r="D5" s="67">
        <v>21200</v>
      </c>
      <c r="E5" s="67">
        <v>33000</v>
      </c>
      <c r="F5" s="67">
        <f>D5+E5</f>
        <v>54200</v>
      </c>
      <c r="G5" s="68">
        <v>0</v>
      </c>
      <c r="H5" s="69">
        <v>0</v>
      </c>
      <c r="I5" s="70" t="s">
        <v>138</v>
      </c>
      <c r="J5" s="1"/>
      <c r="K5" s="1"/>
      <c r="L5" s="1"/>
    </row>
    <row r="6" spans="1:12" ht="15" customHeight="1" x14ac:dyDescent="0.35">
      <c r="A6" s="65">
        <v>11</v>
      </c>
      <c r="B6" s="66">
        <v>0.11</v>
      </c>
      <c r="C6" s="66">
        <v>3.5000000000000003E-2</v>
      </c>
      <c r="D6" s="67">
        <v>21200</v>
      </c>
      <c r="E6" s="67">
        <v>33000</v>
      </c>
      <c r="F6" s="67">
        <f t="shared" ref="F6:F23" si="0">D6+E6</f>
        <v>54200</v>
      </c>
      <c r="G6" s="68">
        <v>0</v>
      </c>
      <c r="H6" s="69">
        <v>0</v>
      </c>
      <c r="I6" s="70" t="s">
        <v>138</v>
      </c>
      <c r="J6" s="1"/>
      <c r="K6" s="1"/>
      <c r="L6" s="1"/>
    </row>
    <row r="7" spans="1:12" ht="15" customHeight="1" x14ac:dyDescent="0.35">
      <c r="A7" s="65">
        <v>12</v>
      </c>
      <c r="B7" s="66">
        <v>0.12</v>
      </c>
      <c r="C7" s="66">
        <v>3.5000000000000003E-2</v>
      </c>
      <c r="D7" s="67">
        <v>21200</v>
      </c>
      <c r="E7" s="67">
        <v>33000</v>
      </c>
      <c r="F7" s="67">
        <f t="shared" si="0"/>
        <v>54200</v>
      </c>
      <c r="G7" s="68">
        <v>0</v>
      </c>
      <c r="H7" s="69">
        <v>0</v>
      </c>
      <c r="I7" s="70" t="s">
        <v>138</v>
      </c>
      <c r="J7" s="1"/>
      <c r="K7" s="1"/>
      <c r="L7" s="1"/>
    </row>
    <row r="8" spans="1:12" ht="15" customHeight="1" x14ac:dyDescent="0.35">
      <c r="A8" s="65">
        <v>13</v>
      </c>
      <c r="B8" s="66">
        <v>0.13</v>
      </c>
      <c r="C8" s="66">
        <v>3.5000000000000003E-2</v>
      </c>
      <c r="D8" s="67">
        <v>21200</v>
      </c>
      <c r="E8" s="67">
        <v>33000</v>
      </c>
      <c r="F8" s="67">
        <f t="shared" si="0"/>
        <v>54200</v>
      </c>
      <c r="G8" s="68">
        <v>0</v>
      </c>
      <c r="H8" s="69">
        <v>0</v>
      </c>
      <c r="I8" s="70" t="s">
        <v>138</v>
      </c>
      <c r="J8" s="1"/>
      <c r="K8" s="1"/>
      <c r="L8" s="1"/>
    </row>
    <row r="9" spans="1:12" ht="15" customHeight="1" x14ac:dyDescent="0.35">
      <c r="A9" s="71">
        <v>14</v>
      </c>
      <c r="B9" s="39">
        <v>0.14000000000000001</v>
      </c>
      <c r="C9" s="39">
        <v>3.5000000000000003E-2</v>
      </c>
      <c r="D9" s="72">
        <v>21200</v>
      </c>
      <c r="E9" s="37">
        <v>33000</v>
      </c>
      <c r="F9" s="67">
        <f t="shared" si="0"/>
        <v>54200</v>
      </c>
      <c r="G9" s="73" t="s">
        <v>72</v>
      </c>
      <c r="H9" s="73" t="s">
        <v>72</v>
      </c>
      <c r="I9" s="74" t="s">
        <v>138</v>
      </c>
      <c r="J9" s="1"/>
      <c r="K9" s="1"/>
      <c r="L9" s="1"/>
    </row>
    <row r="10" spans="1:12" ht="15" customHeight="1" x14ac:dyDescent="0.35">
      <c r="A10" s="65">
        <v>15</v>
      </c>
      <c r="B10" s="66">
        <v>0.15</v>
      </c>
      <c r="C10" s="75">
        <v>3.7499999999999999E-2</v>
      </c>
      <c r="D10" s="67">
        <v>22700</v>
      </c>
      <c r="E10" s="67">
        <v>33000</v>
      </c>
      <c r="F10" s="67">
        <f t="shared" si="0"/>
        <v>55700</v>
      </c>
      <c r="G10" s="76">
        <f>F10-$F$9</f>
        <v>1500</v>
      </c>
      <c r="H10" s="77">
        <f>G10/$F$9</f>
        <v>2.7675276752767528E-2</v>
      </c>
      <c r="I10" s="70" t="s">
        <v>138</v>
      </c>
      <c r="J10" s="1"/>
      <c r="K10" s="1"/>
      <c r="L10" s="1"/>
    </row>
    <row r="11" spans="1:12" ht="15" customHeight="1" x14ac:dyDescent="0.35">
      <c r="A11" s="78">
        <v>16</v>
      </c>
      <c r="B11" s="79">
        <v>0.16</v>
      </c>
      <c r="C11" s="80">
        <v>0.04</v>
      </c>
      <c r="D11" s="81">
        <v>24200</v>
      </c>
      <c r="E11" s="81">
        <v>33000</v>
      </c>
      <c r="F11" s="67">
        <f t="shared" si="0"/>
        <v>57200</v>
      </c>
      <c r="G11" s="82">
        <f t="shared" ref="G11:G23" si="1">F11-$F$9</f>
        <v>3000</v>
      </c>
      <c r="H11" s="83">
        <f t="shared" ref="H11:H23" si="2">G11/$F$9</f>
        <v>5.5350553505535055E-2</v>
      </c>
      <c r="I11" s="84" t="s">
        <v>139</v>
      </c>
      <c r="J11" s="1"/>
      <c r="K11" s="1"/>
      <c r="L11" s="1"/>
    </row>
    <row r="12" spans="1:12" ht="15" customHeight="1" x14ac:dyDescent="0.35">
      <c r="A12" s="78">
        <v>17</v>
      </c>
      <c r="B12" s="79">
        <v>0.17</v>
      </c>
      <c r="C12" s="80">
        <v>4.2500000000000003E-2</v>
      </c>
      <c r="D12" s="81">
        <v>25700</v>
      </c>
      <c r="E12" s="81">
        <v>33000</v>
      </c>
      <c r="F12" s="67">
        <f t="shared" si="0"/>
        <v>58700</v>
      </c>
      <c r="G12" s="82">
        <f t="shared" si="1"/>
        <v>4500</v>
      </c>
      <c r="H12" s="83">
        <f t="shared" si="2"/>
        <v>8.3025830258302583E-2</v>
      </c>
      <c r="I12" s="84" t="s">
        <v>139</v>
      </c>
      <c r="J12" s="1"/>
      <c r="K12" s="1"/>
      <c r="L12" s="1"/>
    </row>
    <row r="13" spans="1:12" ht="15" customHeight="1" x14ac:dyDescent="0.35">
      <c r="A13" s="78">
        <v>18</v>
      </c>
      <c r="B13" s="79">
        <v>0.18</v>
      </c>
      <c r="C13" s="80">
        <v>4.4999999999999998E-2</v>
      </c>
      <c r="D13" s="81">
        <v>27200</v>
      </c>
      <c r="E13" s="81">
        <v>33000</v>
      </c>
      <c r="F13" s="67">
        <f t="shared" si="0"/>
        <v>60200</v>
      </c>
      <c r="G13" s="82">
        <f t="shared" si="1"/>
        <v>6000</v>
      </c>
      <c r="H13" s="83">
        <f t="shared" si="2"/>
        <v>0.11070110701107011</v>
      </c>
      <c r="I13" s="84" t="s">
        <v>139</v>
      </c>
      <c r="J13" s="1"/>
      <c r="K13" s="1"/>
      <c r="L13" s="1"/>
    </row>
    <row r="14" spans="1:12" ht="15" customHeight="1" x14ac:dyDescent="0.35">
      <c r="A14" s="78">
        <v>19</v>
      </c>
      <c r="B14" s="79">
        <v>0.19</v>
      </c>
      <c r="C14" s="80">
        <v>4.7500000000000001E-2</v>
      </c>
      <c r="D14" s="81">
        <v>28700</v>
      </c>
      <c r="E14" s="81">
        <v>33000</v>
      </c>
      <c r="F14" s="67">
        <f t="shared" si="0"/>
        <v>61700</v>
      </c>
      <c r="G14" s="82">
        <f t="shared" si="1"/>
        <v>7500</v>
      </c>
      <c r="H14" s="83">
        <f t="shared" si="2"/>
        <v>0.13837638376383765</v>
      </c>
      <c r="I14" s="84" t="s">
        <v>139</v>
      </c>
      <c r="J14" s="1"/>
      <c r="K14" s="1"/>
      <c r="L14" s="1"/>
    </row>
    <row r="15" spans="1:12" ht="15" customHeight="1" x14ac:dyDescent="0.35">
      <c r="A15" s="78">
        <v>20</v>
      </c>
      <c r="B15" s="79">
        <v>0.2</v>
      </c>
      <c r="C15" s="80">
        <v>0.05</v>
      </c>
      <c r="D15" s="81">
        <v>30300</v>
      </c>
      <c r="E15" s="81">
        <v>33000</v>
      </c>
      <c r="F15" s="67">
        <f t="shared" si="0"/>
        <v>63300</v>
      </c>
      <c r="G15" s="82">
        <f t="shared" si="1"/>
        <v>9100</v>
      </c>
      <c r="H15" s="83">
        <f t="shared" si="2"/>
        <v>0.16789667896678967</v>
      </c>
      <c r="I15" s="84" t="s">
        <v>139</v>
      </c>
      <c r="J15" s="1"/>
      <c r="K15" s="1"/>
      <c r="L15" s="1"/>
    </row>
    <row r="16" spans="1:12" ht="15" customHeight="1" x14ac:dyDescent="0.35">
      <c r="A16" s="78">
        <v>22</v>
      </c>
      <c r="B16" s="79">
        <v>0.22</v>
      </c>
      <c r="C16" s="80">
        <v>5.5E-2</v>
      </c>
      <c r="D16" s="81">
        <v>33300</v>
      </c>
      <c r="E16" s="81">
        <v>33000</v>
      </c>
      <c r="F16" s="67">
        <f t="shared" si="0"/>
        <v>66300</v>
      </c>
      <c r="G16" s="82">
        <f t="shared" si="1"/>
        <v>12100</v>
      </c>
      <c r="H16" s="83">
        <f t="shared" si="2"/>
        <v>0.22324723247232472</v>
      </c>
      <c r="I16" s="84" t="s">
        <v>139</v>
      </c>
      <c r="J16" s="1"/>
      <c r="K16" s="1"/>
      <c r="L16" s="1"/>
    </row>
    <row r="17" spans="1:12" ht="15" customHeight="1" x14ac:dyDescent="0.35">
      <c r="A17" s="85">
        <v>24</v>
      </c>
      <c r="B17" s="86">
        <v>0.24</v>
      </c>
      <c r="C17" s="87">
        <v>0.06</v>
      </c>
      <c r="D17" s="88">
        <v>36300</v>
      </c>
      <c r="E17" s="89">
        <v>33000</v>
      </c>
      <c r="F17" s="67">
        <f t="shared" si="0"/>
        <v>69300</v>
      </c>
      <c r="G17" s="90">
        <f t="shared" si="1"/>
        <v>15100</v>
      </c>
      <c r="H17" s="91">
        <f t="shared" si="2"/>
        <v>0.27859778597785978</v>
      </c>
      <c r="I17" s="92" t="s">
        <v>140</v>
      </c>
      <c r="J17" s="1"/>
      <c r="K17" s="1"/>
      <c r="L17" s="1"/>
    </row>
    <row r="18" spans="1:12" ht="15" customHeight="1" x14ac:dyDescent="0.35">
      <c r="A18" s="85">
        <v>26</v>
      </c>
      <c r="B18" s="86">
        <v>0.26</v>
      </c>
      <c r="C18" s="87">
        <v>6.5000000000000002E-2</v>
      </c>
      <c r="D18" s="88">
        <v>39300</v>
      </c>
      <c r="E18" s="89">
        <v>33000</v>
      </c>
      <c r="F18" s="67">
        <f t="shared" si="0"/>
        <v>72300</v>
      </c>
      <c r="G18" s="90">
        <f t="shared" si="1"/>
        <v>18100</v>
      </c>
      <c r="H18" s="91">
        <f t="shared" si="2"/>
        <v>0.33394833948339481</v>
      </c>
      <c r="I18" s="92" t="s">
        <v>140</v>
      </c>
      <c r="J18" s="1"/>
      <c r="K18" s="1"/>
      <c r="L18" s="1"/>
    </row>
    <row r="19" spans="1:12" ht="15" customHeight="1" x14ac:dyDescent="0.35">
      <c r="A19" s="85">
        <v>28</v>
      </c>
      <c r="B19" s="86">
        <v>0.28000000000000003</v>
      </c>
      <c r="C19" s="87">
        <v>7.0000000000000007E-2</v>
      </c>
      <c r="D19" s="88">
        <v>42400</v>
      </c>
      <c r="E19" s="89">
        <v>33000</v>
      </c>
      <c r="F19" s="67">
        <f t="shared" si="0"/>
        <v>75400</v>
      </c>
      <c r="G19" s="90">
        <f t="shared" si="1"/>
        <v>21200</v>
      </c>
      <c r="H19" s="91">
        <f t="shared" si="2"/>
        <v>0.39114391143911437</v>
      </c>
      <c r="I19" s="92" t="s">
        <v>140</v>
      </c>
      <c r="J19" s="1"/>
      <c r="K19" s="1"/>
      <c r="L19" s="1"/>
    </row>
    <row r="20" spans="1:12" ht="15" customHeight="1" x14ac:dyDescent="0.35">
      <c r="A20" s="85">
        <v>30</v>
      </c>
      <c r="B20" s="86">
        <v>0.3</v>
      </c>
      <c r="C20" s="87">
        <v>7.4999999999999997E-2</v>
      </c>
      <c r="D20" s="88">
        <v>45400</v>
      </c>
      <c r="E20" s="89">
        <v>33000</v>
      </c>
      <c r="F20" s="67">
        <f t="shared" si="0"/>
        <v>78400</v>
      </c>
      <c r="G20" s="90">
        <f t="shared" si="1"/>
        <v>24200</v>
      </c>
      <c r="H20" s="91">
        <f t="shared" si="2"/>
        <v>0.44649446494464945</v>
      </c>
      <c r="I20" s="92" t="s">
        <v>140</v>
      </c>
      <c r="J20" s="1"/>
      <c r="K20" s="1"/>
      <c r="L20" s="1"/>
    </row>
    <row r="21" spans="1:12" ht="15" customHeight="1" x14ac:dyDescent="0.35">
      <c r="A21" s="93">
        <v>35</v>
      </c>
      <c r="B21" s="94">
        <v>0.35</v>
      </c>
      <c r="C21" s="95">
        <v>8.7499999999999994E-2</v>
      </c>
      <c r="D21" s="96">
        <v>52900</v>
      </c>
      <c r="E21" s="97">
        <v>33000</v>
      </c>
      <c r="F21" s="67">
        <f t="shared" si="0"/>
        <v>85900</v>
      </c>
      <c r="G21" s="98">
        <f t="shared" si="1"/>
        <v>31700</v>
      </c>
      <c r="H21" s="99">
        <f t="shared" si="2"/>
        <v>0.58487084870848705</v>
      </c>
      <c r="I21" s="100" t="s">
        <v>141</v>
      </c>
      <c r="J21" s="1"/>
      <c r="K21" s="1"/>
      <c r="L21" s="1"/>
    </row>
    <row r="22" spans="1:12" ht="15" customHeight="1" x14ac:dyDescent="0.35">
      <c r="A22" s="93">
        <v>40</v>
      </c>
      <c r="B22" s="94">
        <v>0.4</v>
      </c>
      <c r="C22" s="95">
        <v>0.1</v>
      </c>
      <c r="D22" s="96">
        <v>60500</v>
      </c>
      <c r="E22" s="97">
        <v>33000</v>
      </c>
      <c r="F22" s="67">
        <f t="shared" si="0"/>
        <v>93500</v>
      </c>
      <c r="G22" s="98">
        <f t="shared" si="1"/>
        <v>39300</v>
      </c>
      <c r="H22" s="99">
        <f t="shared" si="2"/>
        <v>0.72509225092250917</v>
      </c>
      <c r="I22" s="100" t="s">
        <v>141</v>
      </c>
      <c r="J22" s="1"/>
      <c r="K22" s="1"/>
      <c r="L22" s="1"/>
    </row>
    <row r="23" spans="1:12" ht="15" customHeight="1" x14ac:dyDescent="0.35">
      <c r="A23" s="93">
        <v>50</v>
      </c>
      <c r="B23" s="94">
        <v>0.5</v>
      </c>
      <c r="C23" s="95">
        <v>0.125</v>
      </c>
      <c r="D23" s="96">
        <v>75600</v>
      </c>
      <c r="E23" s="97">
        <v>33000</v>
      </c>
      <c r="F23" s="67">
        <f t="shared" si="0"/>
        <v>108600</v>
      </c>
      <c r="G23" s="98">
        <f t="shared" si="1"/>
        <v>54400</v>
      </c>
      <c r="H23" s="99">
        <f t="shared" si="2"/>
        <v>1.003690036900369</v>
      </c>
      <c r="I23" s="100" t="s">
        <v>141</v>
      </c>
      <c r="J23" s="1"/>
      <c r="K23" s="1"/>
      <c r="L23" s="1"/>
    </row>
    <row r="24" spans="1:12" ht="6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5">
      <c r="A25" s="113" t="s">
        <v>142</v>
      </c>
      <c r="B25" s="109"/>
      <c r="C25" s="109"/>
      <c r="D25" s="109"/>
      <c r="E25" s="109"/>
      <c r="F25" s="109"/>
      <c r="G25" s="109"/>
      <c r="H25" s="109"/>
      <c r="I25" s="109"/>
      <c r="J25" s="1"/>
      <c r="K25" s="1"/>
      <c r="L25" s="1"/>
    </row>
    <row r="26" spans="1:12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</sheetData>
  <mergeCells count="3">
    <mergeCell ref="A1:I1"/>
    <mergeCell ref="A25:I25"/>
    <mergeCell ref="A2:I2"/>
  </mergeCells>
  <conditionalFormatting sqref="F5:F23">
    <cfRule type="colorScale" priority="1">
      <colorScale>
        <cfvo type="min"/>
        <cfvo type="percentile" val="50"/>
        <cfvo type="max"/>
        <color rgb="FFCCFFCC"/>
        <color rgb="FFFFFF99"/>
        <color rgb="FFFF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A5568"/>
  </sheetPr>
  <dimension ref="A1:L90"/>
  <sheetViews>
    <sheetView showGridLines="0" topLeftCell="A38" workbookViewId="0">
      <selection activeCell="A58" sqref="A58"/>
    </sheetView>
  </sheetViews>
  <sheetFormatPr defaultRowHeight="14.5" x14ac:dyDescent="0.35"/>
  <cols>
    <col min="1" max="1" width="24" customWidth="1"/>
    <col min="2" max="3" width="12" customWidth="1"/>
    <col min="4" max="4" width="16" customWidth="1"/>
    <col min="5" max="5" width="14" customWidth="1"/>
    <col min="6" max="8" width="12" customWidth="1"/>
  </cols>
  <sheetData>
    <row r="1" spans="1:12" ht="24" customHeight="1" x14ac:dyDescent="0.35">
      <c r="A1" s="122" t="s">
        <v>143</v>
      </c>
      <c r="B1" s="109"/>
      <c r="C1" s="109"/>
      <c r="D1" s="109"/>
      <c r="E1" s="109"/>
      <c r="F1" s="109"/>
      <c r="G1" s="109"/>
      <c r="H1" s="109"/>
      <c r="I1" s="1"/>
      <c r="J1" s="1"/>
      <c r="K1" s="1"/>
      <c r="L1" s="1"/>
    </row>
    <row r="2" spans="1:12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6" customHeight="1" x14ac:dyDescent="0.35">
      <c r="A4" s="133" t="s">
        <v>144</v>
      </c>
      <c r="B4" s="109"/>
      <c r="C4" s="109"/>
      <c r="D4" s="109"/>
      <c r="E4" s="109"/>
      <c r="F4" s="109"/>
      <c r="G4" s="109"/>
      <c r="H4" s="109"/>
      <c r="I4" s="1"/>
      <c r="J4" s="1"/>
      <c r="K4" s="1"/>
      <c r="L4" s="1"/>
    </row>
    <row r="5" spans="1:12" ht="14" customHeight="1" x14ac:dyDescent="0.35">
      <c r="A5" s="108" t="s">
        <v>145</v>
      </c>
      <c r="B5" s="109"/>
      <c r="C5" s="109"/>
      <c r="D5" s="109"/>
      <c r="E5" s="109"/>
      <c r="F5" s="109"/>
      <c r="G5" s="109"/>
      <c r="H5" s="109"/>
      <c r="I5" s="1"/>
      <c r="J5" s="1"/>
      <c r="K5" s="1"/>
      <c r="L5" s="1"/>
    </row>
    <row r="6" spans="1:12" ht="14" customHeight="1" x14ac:dyDescent="0.35">
      <c r="A6" s="108" t="s">
        <v>146</v>
      </c>
      <c r="B6" s="109"/>
      <c r="C6" s="109"/>
      <c r="D6" s="109"/>
      <c r="E6" s="109"/>
      <c r="F6" s="109"/>
      <c r="G6" s="109"/>
      <c r="H6" s="109"/>
      <c r="I6" s="1"/>
      <c r="J6" s="1"/>
      <c r="K6" s="1"/>
      <c r="L6" s="1"/>
    </row>
    <row r="7" spans="1:12" ht="14" customHeight="1" x14ac:dyDescent="0.35">
      <c r="A7" s="108" t="s">
        <v>147</v>
      </c>
      <c r="B7" s="109"/>
      <c r="C7" s="109"/>
      <c r="D7" s="109"/>
      <c r="E7" s="109"/>
      <c r="F7" s="109"/>
      <c r="G7" s="109"/>
      <c r="H7" s="109"/>
      <c r="I7" s="1"/>
      <c r="J7" s="1"/>
      <c r="K7" s="1"/>
      <c r="L7" s="1"/>
    </row>
    <row r="8" spans="1:12" ht="6" customHeight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16" customHeight="1" x14ac:dyDescent="0.35">
      <c r="A9" s="133" t="s">
        <v>148</v>
      </c>
      <c r="B9" s="109"/>
      <c r="C9" s="109"/>
      <c r="D9" s="109"/>
      <c r="E9" s="109"/>
      <c r="F9" s="109"/>
      <c r="G9" s="109"/>
      <c r="H9" s="109"/>
      <c r="I9" s="1"/>
      <c r="J9" s="1"/>
      <c r="K9" s="1"/>
      <c r="L9" s="1"/>
    </row>
    <row r="10" spans="1:12" ht="14" customHeight="1" x14ac:dyDescent="0.35">
      <c r="A10" s="108" t="s">
        <v>149</v>
      </c>
      <c r="B10" s="109"/>
      <c r="C10" s="109"/>
      <c r="D10" s="109"/>
      <c r="E10" s="109"/>
      <c r="F10" s="109"/>
      <c r="G10" s="109"/>
      <c r="H10" s="109"/>
      <c r="I10" s="1"/>
      <c r="J10" s="1"/>
      <c r="K10" s="1"/>
      <c r="L10" s="1"/>
    </row>
    <row r="11" spans="1:12" ht="14" customHeight="1" x14ac:dyDescent="0.35">
      <c r="A11" s="136" t="s">
        <v>150</v>
      </c>
      <c r="B11" s="109"/>
      <c r="C11" s="109"/>
      <c r="D11" s="109"/>
      <c r="E11" s="109"/>
      <c r="F11" s="109"/>
      <c r="G11" s="109"/>
      <c r="H11" s="109"/>
      <c r="I11" s="1"/>
      <c r="J11" s="1"/>
      <c r="K11" s="1"/>
      <c r="L11" s="1"/>
    </row>
    <row r="12" spans="1:12" ht="14" customHeight="1" x14ac:dyDescent="0.35">
      <c r="A12" s="136" t="s">
        <v>151</v>
      </c>
      <c r="B12" s="109"/>
      <c r="C12" s="109"/>
      <c r="D12" s="109"/>
      <c r="E12" s="109"/>
      <c r="F12" s="109"/>
      <c r="G12" s="109"/>
      <c r="H12" s="109"/>
      <c r="I12" s="1"/>
      <c r="J12" s="1"/>
      <c r="K12" s="1"/>
      <c r="L12" s="1"/>
    </row>
    <row r="13" spans="1:12" ht="14" customHeight="1" x14ac:dyDescent="0.35">
      <c r="A13" s="139" t="s">
        <v>152</v>
      </c>
      <c r="B13" s="109"/>
      <c r="C13" s="109"/>
      <c r="D13" s="109"/>
      <c r="E13" s="109"/>
      <c r="F13" s="109"/>
      <c r="G13" s="109"/>
      <c r="H13" s="109"/>
      <c r="I13" s="1"/>
      <c r="J13" s="1"/>
      <c r="K13" s="1"/>
      <c r="L13" s="1"/>
    </row>
    <row r="14" spans="1:12" ht="6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6" customHeight="1" x14ac:dyDescent="0.35">
      <c r="A15" s="133" t="s">
        <v>153</v>
      </c>
      <c r="B15" s="109"/>
      <c r="C15" s="109"/>
      <c r="D15" s="109"/>
      <c r="E15" s="109"/>
      <c r="F15" s="109"/>
      <c r="G15" s="109"/>
      <c r="H15" s="109"/>
      <c r="I15" s="1"/>
      <c r="J15" s="1"/>
      <c r="K15" s="1"/>
      <c r="L15" s="1"/>
    </row>
    <row r="16" spans="1:12" ht="14" customHeight="1" x14ac:dyDescent="0.35">
      <c r="A16" s="134" t="s">
        <v>45</v>
      </c>
      <c r="B16" s="102"/>
      <c r="C16" s="103"/>
      <c r="D16" s="135" t="s">
        <v>154</v>
      </c>
      <c r="E16" s="102"/>
      <c r="F16" s="102"/>
      <c r="G16" s="102"/>
      <c r="H16" s="103"/>
      <c r="I16" s="1"/>
      <c r="J16" s="1"/>
      <c r="K16" s="1"/>
      <c r="L16" s="1"/>
    </row>
    <row r="17" spans="1:12" ht="14" customHeight="1" x14ac:dyDescent="0.35">
      <c r="A17" s="134" t="s">
        <v>47</v>
      </c>
      <c r="B17" s="102"/>
      <c r="C17" s="103"/>
      <c r="D17" s="135" t="s">
        <v>155</v>
      </c>
      <c r="E17" s="102"/>
      <c r="F17" s="102"/>
      <c r="G17" s="102"/>
      <c r="H17" s="103"/>
      <c r="I17" s="1"/>
      <c r="J17" s="1"/>
      <c r="K17" s="1"/>
      <c r="L17" s="1"/>
    </row>
    <row r="18" spans="1:12" ht="14" customHeight="1" x14ac:dyDescent="0.35">
      <c r="A18" s="134" t="s">
        <v>156</v>
      </c>
      <c r="B18" s="102"/>
      <c r="C18" s="103"/>
      <c r="D18" s="135" t="s">
        <v>186</v>
      </c>
      <c r="E18" s="102"/>
      <c r="F18" s="102"/>
      <c r="G18" s="102"/>
      <c r="H18" s="103"/>
      <c r="I18" s="1"/>
      <c r="J18" s="1"/>
      <c r="K18" s="1"/>
      <c r="L18" s="1"/>
    </row>
    <row r="19" spans="1:12" ht="14" customHeight="1" x14ac:dyDescent="0.35">
      <c r="A19" s="134" t="s">
        <v>157</v>
      </c>
      <c r="B19" s="102"/>
      <c r="C19" s="103"/>
      <c r="D19" s="135"/>
      <c r="E19" s="102"/>
      <c r="F19" s="102"/>
      <c r="G19" s="102"/>
      <c r="H19" s="103"/>
      <c r="I19" s="1"/>
      <c r="J19" s="1"/>
      <c r="K19" s="1"/>
      <c r="L19" s="1"/>
    </row>
    <row r="20" spans="1:12" ht="14" customHeight="1" x14ac:dyDescent="0.35">
      <c r="A20" s="134" t="s">
        <v>158</v>
      </c>
      <c r="B20" s="102"/>
      <c r="C20" s="103"/>
      <c r="D20" s="135" t="s">
        <v>185</v>
      </c>
      <c r="E20" s="102"/>
      <c r="F20" s="102"/>
      <c r="G20" s="102"/>
      <c r="H20" s="103"/>
      <c r="I20" s="1"/>
      <c r="J20" s="1"/>
      <c r="K20" s="1"/>
      <c r="L20" s="1"/>
    </row>
    <row r="21" spans="1:12" ht="14" customHeight="1" x14ac:dyDescent="0.35">
      <c r="A21" s="134" t="s">
        <v>159</v>
      </c>
      <c r="B21" s="102"/>
      <c r="C21" s="103"/>
      <c r="D21" s="135"/>
      <c r="E21" s="102"/>
      <c r="F21" s="102"/>
      <c r="G21" s="102"/>
      <c r="H21" s="103"/>
      <c r="I21" s="1"/>
      <c r="J21" s="1"/>
      <c r="K21" s="1"/>
      <c r="L21" s="1"/>
    </row>
    <row r="22" spans="1:12" ht="14" customHeight="1" x14ac:dyDescent="0.35">
      <c r="A22" s="134" t="s">
        <v>160</v>
      </c>
      <c r="B22" s="102"/>
      <c r="C22" s="103"/>
      <c r="D22" s="135" t="s">
        <v>161</v>
      </c>
      <c r="E22" s="102"/>
      <c r="F22" s="102"/>
      <c r="G22" s="102"/>
      <c r="H22" s="103"/>
      <c r="I22" s="1"/>
      <c r="J22" s="1"/>
      <c r="K22" s="1"/>
      <c r="L22" s="1"/>
    </row>
    <row r="23" spans="1:12" ht="14" customHeight="1" x14ac:dyDescent="0.35">
      <c r="A23" s="134" t="s">
        <v>162</v>
      </c>
      <c r="B23" s="102"/>
      <c r="C23" s="103"/>
      <c r="D23" s="135" t="s">
        <v>184</v>
      </c>
      <c r="E23" s="102"/>
      <c r="F23" s="102"/>
      <c r="G23" s="102"/>
      <c r="H23" s="103"/>
      <c r="I23" s="1"/>
      <c r="J23" s="1"/>
      <c r="K23" s="1"/>
      <c r="L23" s="1"/>
    </row>
    <row r="24" spans="1:12" ht="14" customHeight="1" x14ac:dyDescent="0.35">
      <c r="A24" s="134" t="s">
        <v>163</v>
      </c>
      <c r="B24" s="102"/>
      <c r="C24" s="103"/>
      <c r="D24" s="135"/>
      <c r="E24" s="102"/>
      <c r="F24" s="102"/>
      <c r="G24" s="102"/>
      <c r="H24" s="103"/>
      <c r="I24" s="1"/>
      <c r="J24" s="1"/>
      <c r="K24" s="1"/>
      <c r="L24" s="1"/>
    </row>
    <row r="25" spans="1:12" ht="14" customHeight="1" x14ac:dyDescent="0.35">
      <c r="A25" s="134" t="s">
        <v>122</v>
      </c>
      <c r="B25" s="102"/>
      <c r="C25" s="103"/>
      <c r="D25" s="135"/>
      <c r="E25" s="102"/>
      <c r="F25" s="102"/>
      <c r="G25" s="102"/>
      <c r="H25" s="103"/>
      <c r="I25" s="1"/>
      <c r="J25" s="1"/>
      <c r="K25" s="1"/>
      <c r="L25" s="1"/>
    </row>
    <row r="26" spans="1:12" ht="14" customHeight="1" x14ac:dyDescent="0.35">
      <c r="A26" s="134" t="s">
        <v>164</v>
      </c>
      <c r="B26" s="102"/>
      <c r="C26" s="103"/>
      <c r="D26" s="135"/>
      <c r="E26" s="102"/>
      <c r="F26" s="102"/>
      <c r="G26" s="102"/>
      <c r="H26" s="103"/>
      <c r="I26" s="1"/>
      <c r="J26" s="1"/>
      <c r="K26" s="1"/>
      <c r="L26" s="1"/>
    </row>
    <row r="27" spans="1:12" ht="14" customHeight="1" x14ac:dyDescent="0.35">
      <c r="A27" s="134" t="s">
        <v>165</v>
      </c>
      <c r="B27" s="102"/>
      <c r="C27" s="103"/>
      <c r="D27" s="135" t="s">
        <v>183</v>
      </c>
      <c r="E27" s="102"/>
      <c r="F27" s="102"/>
      <c r="G27" s="102"/>
      <c r="H27" s="103"/>
      <c r="I27" s="1"/>
      <c r="J27" s="1"/>
      <c r="K27" s="1"/>
      <c r="L27" s="1"/>
    </row>
    <row r="28" spans="1:12" ht="6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6" customHeight="1" x14ac:dyDescent="0.35">
      <c r="A29" s="133" t="s">
        <v>166</v>
      </c>
      <c r="B29" s="109"/>
      <c r="C29" s="109"/>
      <c r="D29" s="109"/>
      <c r="E29" s="109"/>
      <c r="F29" s="109"/>
      <c r="G29" s="109"/>
      <c r="H29" s="109"/>
      <c r="I29" s="1"/>
      <c r="J29" s="1"/>
      <c r="K29" s="1"/>
      <c r="L29" s="1"/>
    </row>
    <row r="30" spans="1:12" ht="14" customHeight="1" x14ac:dyDescent="0.35">
      <c r="A30" s="108" t="s">
        <v>167</v>
      </c>
      <c r="B30" s="109"/>
      <c r="C30" s="109"/>
      <c r="D30" s="109"/>
      <c r="E30" s="109"/>
      <c r="F30" s="109"/>
      <c r="G30" s="109"/>
      <c r="H30" s="109"/>
      <c r="I30" s="1"/>
      <c r="J30" s="1"/>
      <c r="K30" s="1"/>
      <c r="L30" s="1"/>
    </row>
    <row r="31" spans="1:12" ht="14" customHeight="1" x14ac:dyDescent="0.35">
      <c r="A31" s="136" t="s">
        <v>168</v>
      </c>
      <c r="B31" s="109"/>
      <c r="C31" s="109"/>
      <c r="D31" s="109"/>
      <c r="E31" s="109"/>
      <c r="F31" s="109"/>
      <c r="G31" s="109"/>
      <c r="H31" s="109"/>
      <c r="I31" s="1"/>
      <c r="J31" s="1"/>
      <c r="K31" s="1"/>
      <c r="L31" s="1"/>
    </row>
    <row r="32" spans="1:12" ht="14" customHeight="1" x14ac:dyDescent="0.35">
      <c r="A32" s="136" t="s">
        <v>169</v>
      </c>
      <c r="B32" s="109"/>
      <c r="C32" s="109"/>
      <c r="D32" s="109"/>
      <c r="E32" s="109"/>
      <c r="F32" s="109"/>
      <c r="G32" s="109"/>
      <c r="H32" s="109"/>
      <c r="I32" s="1"/>
      <c r="J32" s="1"/>
      <c r="K32" s="1"/>
      <c r="L32" s="1"/>
    </row>
    <row r="33" spans="1:12" ht="14" customHeight="1" x14ac:dyDescent="0.35">
      <c r="A33" s="138" t="s">
        <v>170</v>
      </c>
      <c r="B33" s="109"/>
      <c r="C33" s="109"/>
      <c r="D33" s="109"/>
      <c r="E33" s="109"/>
      <c r="F33" s="109"/>
      <c r="G33" s="109"/>
      <c r="H33" s="109"/>
      <c r="I33" s="1"/>
      <c r="J33" s="1"/>
      <c r="K33" s="1"/>
      <c r="L33" s="1"/>
    </row>
    <row r="34" spans="1:12" ht="6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6" customHeight="1" x14ac:dyDescent="0.35">
      <c r="A35" s="133" t="s">
        <v>171</v>
      </c>
      <c r="B35" s="109"/>
      <c r="C35" s="109"/>
      <c r="D35" s="109"/>
      <c r="E35" s="109"/>
      <c r="F35" s="109"/>
      <c r="G35" s="109"/>
      <c r="H35" s="109"/>
      <c r="I35" s="1"/>
      <c r="J35" s="1"/>
      <c r="K35" s="1"/>
      <c r="L35" s="1"/>
    </row>
    <row r="36" spans="1:12" ht="14" customHeight="1" x14ac:dyDescent="0.35">
      <c r="A36" s="108" t="s">
        <v>172</v>
      </c>
      <c r="B36" s="109"/>
      <c r="C36" s="109"/>
      <c r="D36" s="109"/>
      <c r="E36" s="109"/>
      <c r="F36" s="109"/>
      <c r="G36" s="109"/>
      <c r="H36" s="109"/>
      <c r="I36" s="1"/>
      <c r="J36" s="1"/>
      <c r="K36" s="1"/>
      <c r="L36" s="1"/>
    </row>
    <row r="37" spans="1:12" ht="14" customHeight="1" x14ac:dyDescent="0.35">
      <c r="A37" s="108" t="s">
        <v>173</v>
      </c>
      <c r="B37" s="109"/>
      <c r="C37" s="109"/>
      <c r="D37" s="109"/>
      <c r="E37" s="109"/>
      <c r="F37" s="109"/>
      <c r="G37" s="109"/>
      <c r="H37" s="109"/>
      <c r="I37" s="1"/>
      <c r="J37" s="1"/>
      <c r="K37" s="1"/>
      <c r="L37" s="1"/>
    </row>
    <row r="38" spans="1:12" ht="14" customHeight="1" x14ac:dyDescent="0.35">
      <c r="A38" s="136" t="s">
        <v>174</v>
      </c>
      <c r="B38" s="109"/>
      <c r="C38" s="109"/>
      <c r="D38" s="109"/>
      <c r="E38" s="109"/>
      <c r="F38" s="109"/>
      <c r="G38" s="109"/>
      <c r="H38" s="109"/>
      <c r="I38" s="1"/>
      <c r="J38" s="1"/>
      <c r="K38" s="1"/>
      <c r="L38" s="1"/>
    </row>
    <row r="39" spans="1:12" ht="14" customHeight="1" x14ac:dyDescent="0.35">
      <c r="A39" s="136" t="s">
        <v>175</v>
      </c>
      <c r="B39" s="109"/>
      <c r="C39" s="109"/>
      <c r="D39" s="109"/>
      <c r="E39" s="109"/>
      <c r="F39" s="109"/>
      <c r="G39" s="109"/>
      <c r="H39" s="109"/>
      <c r="I39" s="1"/>
      <c r="J39" s="1"/>
      <c r="K39" s="1"/>
      <c r="L39" s="1"/>
    </row>
    <row r="40" spans="1:12" ht="14" customHeight="1" x14ac:dyDescent="0.35">
      <c r="A40" s="140" t="s">
        <v>176</v>
      </c>
      <c r="B40" s="109"/>
      <c r="C40" s="109"/>
      <c r="D40" s="109"/>
      <c r="E40" s="109"/>
      <c r="F40" s="109"/>
      <c r="G40" s="109"/>
      <c r="H40" s="109"/>
      <c r="I40" s="1"/>
      <c r="J40" s="1"/>
      <c r="K40" s="1"/>
      <c r="L40" s="1"/>
    </row>
    <row r="41" spans="1:12" ht="14" customHeight="1" x14ac:dyDescent="0.35">
      <c r="A41" s="138" t="s">
        <v>177</v>
      </c>
      <c r="B41" s="109"/>
      <c r="C41" s="109"/>
      <c r="D41" s="109"/>
      <c r="E41" s="109"/>
      <c r="F41" s="109"/>
      <c r="G41" s="109"/>
      <c r="H41" s="109"/>
      <c r="I41" s="1"/>
      <c r="J41" s="1"/>
      <c r="K41" s="1"/>
      <c r="L41" s="1"/>
    </row>
    <row r="42" spans="1:12" ht="6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6" customHeight="1" x14ac:dyDescent="0.35">
      <c r="A43" s="133" t="s">
        <v>178</v>
      </c>
      <c r="B43" s="109"/>
      <c r="C43" s="109"/>
      <c r="D43" s="109"/>
      <c r="E43" s="109"/>
      <c r="F43" s="109"/>
      <c r="G43" s="109"/>
      <c r="H43" s="109"/>
      <c r="I43" s="1"/>
      <c r="J43" s="1"/>
      <c r="K43" s="1"/>
      <c r="L43" s="1"/>
    </row>
    <row r="44" spans="1:12" ht="14" customHeight="1" x14ac:dyDescent="0.35">
      <c r="A44" s="137" t="s">
        <v>179</v>
      </c>
      <c r="B44" s="109"/>
      <c r="C44" s="109"/>
      <c r="D44" s="109"/>
      <c r="E44" s="109"/>
      <c r="F44" s="109"/>
      <c r="G44" s="109"/>
      <c r="H44" s="109"/>
      <c r="I44" s="1"/>
      <c r="J44" s="1"/>
      <c r="K44" s="1"/>
      <c r="L44" s="1"/>
    </row>
    <row r="45" spans="1:12" ht="14" customHeight="1" x14ac:dyDescent="0.35">
      <c r="A45" s="137" t="s">
        <v>180</v>
      </c>
      <c r="B45" s="109"/>
      <c r="C45" s="109"/>
      <c r="D45" s="109"/>
      <c r="E45" s="109"/>
      <c r="F45" s="109"/>
      <c r="G45" s="109"/>
      <c r="H45" s="109"/>
      <c r="I45" s="1"/>
      <c r="J45" s="1"/>
      <c r="K45" s="1"/>
      <c r="L45" s="1"/>
    </row>
    <row r="46" spans="1:12" ht="14" customHeight="1" x14ac:dyDescent="0.35">
      <c r="A46" s="137" t="s">
        <v>181</v>
      </c>
      <c r="B46" s="109"/>
      <c r="C46" s="109"/>
      <c r="D46" s="109"/>
      <c r="E46" s="109"/>
      <c r="F46" s="109"/>
      <c r="G46" s="109"/>
      <c r="H46" s="109"/>
      <c r="I46" s="1"/>
      <c r="J46" s="1"/>
      <c r="K46" s="1"/>
      <c r="L46" s="1"/>
    </row>
    <row r="47" spans="1:12" ht="14" customHeight="1" x14ac:dyDescent="0.35">
      <c r="A47" s="137" t="s">
        <v>182</v>
      </c>
      <c r="B47" s="109"/>
      <c r="C47" s="109"/>
      <c r="D47" s="109"/>
      <c r="E47" s="109"/>
      <c r="F47" s="109"/>
      <c r="G47" s="109"/>
      <c r="H47" s="109"/>
      <c r="I47" s="1"/>
      <c r="J47" s="1"/>
      <c r="K47" s="1"/>
      <c r="L47" s="1"/>
    </row>
    <row r="48" spans="1:12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</sheetData>
  <mergeCells count="52">
    <mergeCell ref="A47:H47"/>
    <mergeCell ref="A5:H5"/>
    <mergeCell ref="A32:H32"/>
    <mergeCell ref="D18:H18"/>
    <mergeCell ref="A24:C24"/>
    <mergeCell ref="D25:H25"/>
    <mergeCell ref="A29:H29"/>
    <mergeCell ref="A35:H35"/>
    <mergeCell ref="D24:H24"/>
    <mergeCell ref="A38:H38"/>
    <mergeCell ref="A43:H43"/>
    <mergeCell ref="A10:H10"/>
    <mergeCell ref="A13:H13"/>
    <mergeCell ref="D23:H23"/>
    <mergeCell ref="A44:H44"/>
    <mergeCell ref="A31:H31"/>
    <mergeCell ref="A46:H46"/>
    <mergeCell ref="A20:C20"/>
    <mergeCell ref="D17:H17"/>
    <mergeCell ref="A12:H12"/>
    <mergeCell ref="A19:C19"/>
    <mergeCell ref="D16:H16"/>
    <mergeCell ref="A33:H33"/>
    <mergeCell ref="A16:C16"/>
    <mergeCell ref="D26:H26"/>
    <mergeCell ref="A40:H40"/>
    <mergeCell ref="A1:H1"/>
    <mergeCell ref="A45:H45"/>
    <mergeCell ref="D22:H22"/>
    <mergeCell ref="A26:C26"/>
    <mergeCell ref="A6:H6"/>
    <mergeCell ref="D21:H21"/>
    <mergeCell ref="A7:H7"/>
    <mergeCell ref="A23:C23"/>
    <mergeCell ref="A22:C22"/>
    <mergeCell ref="A17:C17"/>
    <mergeCell ref="D27:H27"/>
    <mergeCell ref="A41:H41"/>
    <mergeCell ref="A37:H37"/>
    <mergeCell ref="A4:H4"/>
    <mergeCell ref="A9:H9"/>
    <mergeCell ref="A25:C25"/>
    <mergeCell ref="A30:H30"/>
    <mergeCell ref="D20:H20"/>
    <mergeCell ref="A39:H39"/>
    <mergeCell ref="A15:H15"/>
    <mergeCell ref="D19:H19"/>
    <mergeCell ref="A18:C18"/>
    <mergeCell ref="A27:C27"/>
    <mergeCell ref="A36:H36"/>
    <mergeCell ref="A11:H11"/>
    <mergeCell ref="A21:C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Inputs</vt:lpstr>
      <vt:lpstr>Scenarios</vt:lpstr>
      <vt:lpstr>Margin Calc</vt:lpstr>
      <vt:lpstr>Comparison</vt:lpstr>
      <vt:lpstr>VIX Sensitivity</vt:lpstr>
      <vt:lpstr>Methodology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MANIK REPORT</cp:lastModifiedBy>
  <dcterms:created xsi:type="dcterms:W3CDTF">2026-03-12T18:11:34Z</dcterms:created>
  <dcterms:modified xsi:type="dcterms:W3CDTF">2026-03-14T10:39:58Z</dcterms:modified>
</cp:coreProperties>
</file>